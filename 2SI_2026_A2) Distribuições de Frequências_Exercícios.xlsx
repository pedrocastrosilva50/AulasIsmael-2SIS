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3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9508EDFC-683C-4906-BE42-7977ED71FC99}" xr6:coauthVersionLast="47" xr6:coauthVersionMax="47" xr10:uidLastSave="{00000000-0000-0000-0000-000000000000}"/>
  <bookViews>
    <workbookView xWindow="-120" yWindow="-120" windowWidth="19440" windowHeight="14880" firstSheet="4" activeTab="9" xr2:uid="{26FE0065-B95C-4144-B34B-398B6A04A9FD}"/>
  </bookViews>
  <sheets>
    <sheet name="Tipos de Distribuições de Freq." sheetId="2" r:id="rId1"/>
    <sheet name="Tipos de Frequências" sheetId="3" r:id="rId2"/>
    <sheet name="Exercício 1" sheetId="4" r:id="rId3"/>
    <sheet name="Exercício 2" sheetId="5" r:id="rId4"/>
    <sheet name="Exercício 3" sheetId="6" r:id="rId5"/>
    <sheet name="Exercício 4" sheetId="7" r:id="rId6"/>
    <sheet name="Exercício 5" sheetId="8" r:id="rId7"/>
    <sheet name="Exercício 6a" sheetId="9" r:id="rId8"/>
    <sheet name="Exercício 6b" sheetId="10" r:id="rId9"/>
    <sheet name="Exercício 7" sheetId="11" r:id="rId10"/>
    <sheet name="Exercício 8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1" l="1"/>
  <c r="D16" i="11"/>
  <c r="C14" i="11"/>
  <c r="E14" i="11" s="1"/>
  <c r="E15" i="11" s="1"/>
  <c r="D14" i="11"/>
  <c r="D12" i="11"/>
  <c r="D13" i="11"/>
  <c r="F15" i="11"/>
  <c r="F13" i="11"/>
  <c r="F11" i="11"/>
  <c r="E13" i="11"/>
  <c r="C12" i="11"/>
  <c r="E12" i="11" s="1"/>
  <c r="E11" i="11"/>
  <c r="E10" i="11"/>
  <c r="C10" i="11"/>
  <c r="D10" i="11"/>
  <c r="F9" i="11"/>
  <c r="D11" i="11"/>
  <c r="D15" i="11"/>
  <c r="D9" i="11"/>
  <c r="E8" i="9"/>
  <c r="H13" i="9"/>
  <c r="H14" i="9" s="1"/>
  <c r="G14" i="9"/>
  <c r="G12" i="9"/>
  <c r="H9" i="9"/>
  <c r="H10" i="9" s="1"/>
  <c r="H11" i="9" s="1"/>
  <c r="H12" i="9" s="1"/>
  <c r="H8" i="9"/>
  <c r="H7" i="9"/>
  <c r="G11" i="9"/>
  <c r="G10" i="9"/>
  <c r="G9" i="9"/>
  <c r="G8" i="9"/>
  <c r="G7" i="9"/>
  <c r="F9" i="9"/>
  <c r="E10" i="9"/>
  <c r="F11" i="9"/>
  <c r="F12" i="9"/>
  <c r="F13" i="9"/>
  <c r="F14" i="9"/>
  <c r="F7" i="9"/>
  <c r="G19" i="4"/>
  <c r="G12" i="4"/>
  <c r="G18" i="4"/>
  <c r="G17" i="4"/>
  <c r="G16" i="4"/>
  <c r="G15" i="4"/>
  <c r="G14" i="4"/>
  <c r="G13" i="4"/>
  <c r="F21" i="7"/>
  <c r="F22" i="7" s="1"/>
  <c r="F23" i="7" s="1"/>
  <c r="F24" i="7" s="1"/>
  <c r="F25" i="7" s="1"/>
  <c r="E22" i="7"/>
  <c r="D26" i="7"/>
  <c r="E23" i="7" s="1"/>
  <c r="F17" i="6"/>
  <c r="F18" i="6" s="1"/>
  <c r="F19" i="6" s="1"/>
  <c r="F20" i="6" s="1"/>
  <c r="F21" i="6" s="1"/>
  <c r="F22" i="6" s="1"/>
  <c r="F16" i="6"/>
  <c r="F15" i="6"/>
  <c r="E17" i="6"/>
  <c r="E18" i="6" s="1"/>
  <c r="E19" i="6" s="1"/>
  <c r="E20" i="6" s="1"/>
  <c r="E21" i="6" s="1"/>
  <c r="E22" i="6" s="1"/>
  <c r="E16" i="6"/>
  <c r="E15" i="6"/>
  <c r="D23" i="6"/>
  <c r="D16" i="6"/>
  <c r="D17" i="6"/>
  <c r="D18" i="6"/>
  <c r="D19" i="6"/>
  <c r="D20" i="6"/>
  <c r="D21" i="6"/>
  <c r="D22" i="6"/>
  <c r="D15" i="6"/>
  <c r="C22" i="6"/>
  <c r="C21" i="6"/>
  <c r="C20" i="6"/>
  <c r="C19" i="6"/>
  <c r="C18" i="6"/>
  <c r="C17" i="6"/>
  <c r="C16" i="6"/>
  <c r="C15" i="6"/>
  <c r="D29" i="2"/>
  <c r="D12" i="2"/>
  <c r="E16" i="11" l="1"/>
  <c r="F15" i="9"/>
  <c r="E24" i="7"/>
  <c r="E21" i="7"/>
  <c r="E25" i="7"/>
  <c r="C23" i="6"/>
  <c r="G21" i="7" l="1"/>
  <c r="G22" i="7" s="1"/>
  <c r="G23" i="7" s="1"/>
  <c r="G24" i="7" s="1"/>
  <c r="G25" i="7" s="1"/>
  <c r="E26" i="7"/>
  <c r="E17" i="10"/>
  <c r="C20" i="11" l="1"/>
</calcChain>
</file>

<file path=xl/sharedStrings.xml><?xml version="1.0" encoding="utf-8"?>
<sst xmlns="http://schemas.openxmlformats.org/spreadsheetml/2006/main" count="125" uniqueCount="76">
  <si>
    <t>Número de funcionários</t>
  </si>
  <si>
    <t>TOTAL</t>
  </si>
  <si>
    <t>-</t>
  </si>
  <si>
    <t>Número de filhos por funcionário</t>
  </si>
  <si>
    <t>Salário Mensal Bruto (R$)</t>
  </si>
  <si>
    <t>III.  TIPOS  DE  FREQUÊNCIAS</t>
  </si>
  <si>
    <t>Frequências Acumuladas</t>
  </si>
  <si>
    <t>Freq. Relativas Acumuladas</t>
  </si>
  <si>
    <r>
      <t>Variável de Pesquisa (x</t>
    </r>
    <r>
      <rPr>
        <b/>
        <vertAlign val="subscript"/>
        <sz val="16"/>
        <color rgb="FFC00000"/>
        <rFont val="Calibri"/>
        <family val="2"/>
        <scheme val="minor"/>
      </rPr>
      <t>i</t>
    </r>
    <r>
      <rPr>
        <b/>
        <sz val="16"/>
        <color rgb="FFC00000"/>
        <rFont val="Calibri"/>
        <family val="2"/>
        <scheme val="minor"/>
      </rPr>
      <t>)</t>
    </r>
  </si>
  <si>
    <t>(Valores assumidos pela variável de pesquisa)</t>
  </si>
  <si>
    <r>
      <t>Frequências absolutas (f</t>
    </r>
    <r>
      <rPr>
        <b/>
        <vertAlign val="subscript"/>
        <sz val="16"/>
        <color rgb="FFC00000"/>
        <rFont val="Calibri"/>
        <family val="2"/>
        <scheme val="minor"/>
      </rPr>
      <t>i</t>
    </r>
    <r>
      <rPr>
        <b/>
        <sz val="16"/>
        <color rgb="FFC00000"/>
        <rFont val="Calibri"/>
        <family val="2"/>
        <scheme val="minor"/>
      </rPr>
      <t>)</t>
    </r>
  </si>
  <si>
    <t>Frequências Relativas</t>
  </si>
  <si>
    <r>
      <t>Frequências absolutas (f</t>
    </r>
    <r>
      <rPr>
        <b/>
        <vertAlign val="subscript"/>
        <sz val="18"/>
        <color rgb="FF00B050"/>
        <rFont val="Calibri"/>
        <family val="2"/>
        <scheme val="minor"/>
      </rPr>
      <t>i</t>
    </r>
    <r>
      <rPr>
        <b/>
        <sz val="18"/>
        <color rgb="FF00B050"/>
        <rFont val="Calibri"/>
        <family val="2"/>
        <scheme val="minor"/>
      </rPr>
      <t>)</t>
    </r>
  </si>
  <si>
    <r>
      <t>fr</t>
    </r>
    <r>
      <rPr>
        <b/>
        <vertAlign val="subscript"/>
        <sz val="20"/>
        <color rgb="FF00B050"/>
        <rFont val="Calibri"/>
        <family val="2"/>
        <scheme val="minor"/>
      </rPr>
      <t>i</t>
    </r>
  </si>
  <si>
    <r>
      <t>F</t>
    </r>
    <r>
      <rPr>
        <b/>
        <vertAlign val="subscript"/>
        <sz val="20"/>
        <color rgb="FF00B050"/>
        <rFont val="Calibri"/>
        <family val="2"/>
        <scheme val="minor"/>
      </rPr>
      <t>i</t>
    </r>
  </si>
  <si>
    <r>
      <t>Fr</t>
    </r>
    <r>
      <rPr>
        <b/>
        <vertAlign val="subscript"/>
        <sz val="20"/>
        <color rgb="FF00B050"/>
        <rFont val="Calibri"/>
        <family val="2"/>
        <scheme val="minor"/>
      </rPr>
      <t>i</t>
    </r>
  </si>
  <si>
    <r>
      <t xml:space="preserve">I. Distribuições de Frequências </t>
    </r>
    <r>
      <rPr>
        <b/>
        <sz val="16"/>
        <color rgb="FFFFC000"/>
        <rFont val="Calibri"/>
        <family val="2"/>
        <scheme val="minor"/>
      </rPr>
      <t>sem</t>
    </r>
    <r>
      <rPr>
        <b/>
        <sz val="16"/>
        <color theme="0"/>
        <rFont val="Calibri"/>
        <family val="2"/>
        <scheme val="minor"/>
      </rPr>
      <t xml:space="preserve"> classes</t>
    </r>
  </si>
  <si>
    <t>Frequências absolutas com as quais os valores assumidos pela variável de pesquisa apareceram na pesquisa</t>
  </si>
  <si>
    <t>[   ]</t>
  </si>
  <si>
    <r>
      <t>F</t>
    </r>
    <r>
      <rPr>
        <vertAlign val="subscript"/>
        <sz val="16"/>
        <color theme="1"/>
        <rFont val="Calibri"/>
        <family val="2"/>
        <scheme val="minor"/>
      </rPr>
      <t>i</t>
    </r>
  </si>
  <si>
    <r>
      <t xml:space="preserve">II. Distribuições de Frequências </t>
    </r>
    <r>
      <rPr>
        <b/>
        <sz val="16"/>
        <color rgb="FFFFC000"/>
        <rFont val="Calibri"/>
        <family val="2"/>
        <scheme val="minor"/>
      </rPr>
      <t>com</t>
    </r>
    <r>
      <rPr>
        <b/>
        <sz val="16"/>
        <color theme="0"/>
        <rFont val="Calibri"/>
        <family val="2"/>
        <scheme val="minor"/>
      </rPr>
      <t xml:space="preserve"> </t>
    </r>
    <r>
      <rPr>
        <b/>
        <sz val="16"/>
        <color theme="8" tint="0.59999389629810485"/>
        <rFont val="Calibri"/>
        <family val="2"/>
        <scheme val="minor"/>
      </rPr>
      <t>classes de dados estatísticos</t>
    </r>
  </si>
  <si>
    <r>
      <t>"</t>
    </r>
    <r>
      <rPr>
        <b/>
        <sz val="16"/>
        <rFont val="Calibri"/>
        <family val="2"/>
        <scheme val="minor"/>
      </rPr>
      <t xml:space="preserve">Amostra </t>
    </r>
    <r>
      <rPr>
        <sz val="16"/>
        <rFont val="Calibri"/>
        <family val="2"/>
        <scheme val="minor"/>
      </rPr>
      <t xml:space="preserve">é um subconjunto da </t>
    </r>
    <r>
      <rPr>
        <b/>
        <sz val="16"/>
        <rFont val="Calibri"/>
        <family val="2"/>
        <scheme val="minor"/>
      </rPr>
      <t>População</t>
    </r>
    <r>
      <rPr>
        <sz val="16"/>
        <rFont val="Calibri"/>
        <family val="2"/>
        <scheme val="minor"/>
      </rPr>
      <t xml:space="preserve"> de dados estatísticos"</t>
    </r>
  </si>
  <si>
    <t>i = índice</t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</si>
  <si>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1500; 2500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</si>
  <si>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2500; 3500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</si>
  <si>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3500; 4500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</si>
  <si>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4500; 5500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</si>
  <si>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5500; 6500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</si>
  <si>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6500; 7500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</si>
  <si>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7500; 8500</t>
    </r>
    <r>
      <rPr>
        <b/>
        <sz val="16"/>
        <color rgb="FFFF0000"/>
        <rFont val="Calibri"/>
        <family val="2"/>
        <scheme val="minor"/>
      </rPr>
      <t>[</t>
    </r>
  </si>
  <si>
    <r>
      <rPr>
        <b/>
        <sz val="16"/>
        <color rgb="FF00B050"/>
        <rFont val="Calibri"/>
        <family val="2"/>
        <scheme val="minor"/>
      </rPr>
      <t>[</t>
    </r>
    <r>
      <rPr>
        <sz val="16"/>
        <rFont val="Calibri"/>
        <family val="2"/>
        <scheme val="minor"/>
      </rPr>
      <t>8500; 9500</t>
    </r>
    <r>
      <rPr>
        <b/>
        <sz val="16"/>
        <color rgb="FFFF0000"/>
        <rFont val="Calibri"/>
        <family val="2"/>
        <scheme val="minor"/>
      </rPr>
      <t>[</t>
    </r>
  </si>
  <si>
    <t>Numero de TB</t>
  </si>
  <si>
    <t>Indice</t>
  </si>
  <si>
    <t>i</t>
  </si>
  <si>
    <t>Classes</t>
  </si>
  <si>
    <t>[0, 8[</t>
  </si>
  <si>
    <t>[16, 24[</t>
  </si>
  <si>
    <t>[24, 32[</t>
  </si>
  <si>
    <t>[32, 40[</t>
  </si>
  <si>
    <t>[8, 16[</t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</si>
  <si>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</si>
  <si>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t>Freq. Absoluta</t>
  </si>
  <si>
    <r>
      <t>C</t>
    </r>
    <r>
      <rPr>
        <vertAlign val="subscript"/>
        <sz val="11"/>
        <color theme="1"/>
        <rFont val="Calibri"/>
        <family val="2"/>
        <scheme val="minor"/>
      </rPr>
      <t>i</t>
    </r>
  </si>
  <si>
    <t>Total</t>
  </si>
  <si>
    <t>Freq. Relativa</t>
  </si>
  <si>
    <r>
      <t>Fr</t>
    </r>
    <r>
      <rPr>
        <vertAlign val="subscript"/>
        <sz val="11"/>
        <color theme="1"/>
        <rFont val="Calibri"/>
        <family val="2"/>
        <scheme val="minor"/>
      </rPr>
      <t>i</t>
    </r>
  </si>
  <si>
    <t>Freq. Acumuladas</t>
  </si>
  <si>
    <t>Freq. Acum. Relativas</t>
  </si>
  <si>
    <r>
      <t>fr</t>
    </r>
    <r>
      <rPr>
        <vertAlign val="subscript"/>
        <sz val="11"/>
        <color theme="1"/>
        <rFont val="Calibri"/>
        <family val="2"/>
        <scheme val="minor"/>
      </rPr>
      <t>i</t>
    </r>
  </si>
  <si>
    <t>Frequências Absoluta</t>
  </si>
  <si>
    <t>[40 , 50[</t>
  </si>
  <si>
    <t>[50, 60[</t>
  </si>
  <si>
    <t>[60, 70[</t>
  </si>
  <si>
    <t>[70, 80[</t>
  </si>
  <si>
    <t>[80, 90[</t>
  </si>
  <si>
    <t>[90, 100[</t>
  </si>
  <si>
    <t>Uso da GPU</t>
  </si>
  <si>
    <t>Número de usos</t>
  </si>
  <si>
    <t>Classe</t>
  </si>
  <si>
    <t>[30, 40[</t>
  </si>
  <si>
    <t xml:space="preserve">i </t>
  </si>
  <si>
    <t>Variável de pesquisa</t>
  </si>
  <si>
    <t>Freq. Absolutas</t>
  </si>
  <si>
    <t>Freq. Acum. Relativa</t>
  </si>
  <si>
    <r>
      <t>X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</si>
  <si>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</si>
  <si>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t>Temperatura</t>
  </si>
  <si>
    <t>Freq. Acumulada Relativa</t>
  </si>
  <si>
    <t>Frequência Relativa</t>
  </si>
  <si>
    <t>Frequência Acumulada</t>
  </si>
  <si>
    <t>Frequências Absolutas</t>
  </si>
  <si>
    <r>
      <t>f</t>
    </r>
    <r>
      <rPr>
        <vertAlign val="subscript"/>
        <sz val="14"/>
        <color rgb="FF000000"/>
        <rFont val="Calibri"/>
        <family val="2"/>
      </rPr>
      <t>i</t>
    </r>
  </si>
  <si>
    <r>
      <t>fr</t>
    </r>
    <r>
      <rPr>
        <vertAlign val="subscript"/>
        <sz val="14"/>
        <color rgb="FF000000"/>
        <rFont val="Calibri"/>
        <family val="2"/>
      </rPr>
      <t>i</t>
    </r>
  </si>
  <si>
    <r>
      <t>F</t>
    </r>
    <r>
      <rPr>
        <vertAlign val="subscript"/>
        <sz val="14"/>
        <color rgb="FF000000"/>
        <rFont val="Calibri"/>
        <family val="2"/>
      </rPr>
      <t>i</t>
    </r>
  </si>
  <si>
    <r>
      <t>Fr</t>
    </r>
    <r>
      <rPr>
        <vertAlign val="subscript"/>
        <sz val="14"/>
        <color rgb="FF000000"/>
        <rFont val="Calibri"/>
        <family val="2"/>
      </rPr>
      <t>i</t>
    </r>
  </si>
  <si>
    <r>
      <t>x</t>
    </r>
    <r>
      <rPr>
        <vertAlign val="subscript"/>
        <sz val="14"/>
        <color rgb="FF000000"/>
        <rFont val="Calibri"/>
        <family val="2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</si>
</sst>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vertAlign val="subscript"/>
      <sz val="16"/>
      <color rgb="FFC0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vertAlign val="subscript"/>
      <sz val="18"/>
      <color rgb="FF00B05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vertAlign val="subscript"/>
      <sz val="20"/>
      <color rgb="FF00B05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volini"/>
      <family val="4"/>
    </font>
    <font>
      <sz val="14"/>
      <color theme="1"/>
      <name val="Arial"/>
      <family val="2"/>
    </font>
    <font>
      <b/>
      <sz val="16"/>
      <color rgb="FF00B0F0"/>
      <name val="Calibri"/>
      <family val="2"/>
      <scheme val="minor"/>
    </font>
    <font>
      <b/>
      <sz val="16"/>
      <color theme="8" tint="0.59999389629810485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vertAlign val="subscript"/>
      <sz val="14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7EFE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0" xfId="0" applyFont="1"/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0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10" fontId="0" fillId="0" borderId="0" xfId="0" applyNumberFormat="1"/>
    <xf numFmtId="0" fontId="15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5" borderId="1" xfId="1" applyNumberFormat="1" applyFont="1" applyFill="1" applyBorder="1" applyAlignment="1">
      <alignment horizontal="center"/>
    </xf>
    <xf numFmtId="0" fontId="4" fillId="3" borderId="1" xfId="1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2" fillId="2" borderId="1" xfId="1" applyNumberFormat="1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0" borderId="0" xfId="0" applyFont="1"/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9" fontId="22" fillId="2" borderId="1" xfId="1" applyNumberFormat="1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0" fillId="10" borderId="6" xfId="0" applyFill="1" applyBorder="1"/>
    <xf numFmtId="0" fontId="0" fillId="10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3" borderId="6" xfId="1" applyNumberFormat="1" applyFont="1" applyFill="1" applyBorder="1" applyAlignment="1">
      <alignment horizontal="center"/>
    </xf>
    <xf numFmtId="164" fontId="0" fillId="10" borderId="6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11" borderId="6" xfId="0" applyFill="1" applyBorder="1"/>
    <xf numFmtId="0" fontId="0" fillId="11" borderId="6" xfId="0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 wrapText="1" readingOrder="1"/>
    </xf>
    <xf numFmtId="0" fontId="26" fillId="13" borderId="6" xfId="0" applyFont="1" applyFill="1" applyBorder="1"/>
    <xf numFmtId="0" fontId="26" fillId="13" borderId="6" xfId="0" applyFont="1" applyFill="1" applyBorder="1" applyAlignment="1">
      <alignment horizontal="center"/>
    </xf>
    <xf numFmtId="0" fontId="26" fillId="10" borderId="6" xfId="0" applyFont="1" applyFill="1" applyBorder="1"/>
    <xf numFmtId="0" fontId="26" fillId="14" borderId="6" xfId="0" applyFont="1" applyFill="1" applyBorder="1"/>
    <xf numFmtId="0" fontId="0" fillId="14" borderId="6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9" fontId="0" fillId="15" borderId="6" xfId="1" applyFont="1" applyFill="1" applyBorder="1" applyAlignment="1">
      <alignment horizontal="center"/>
    </xf>
    <xf numFmtId="9" fontId="0" fillId="13" borderId="6" xfId="1" applyFont="1" applyFill="1" applyBorder="1" applyAlignment="1">
      <alignment horizontal="center"/>
    </xf>
    <xf numFmtId="9" fontId="0" fillId="14" borderId="6" xfId="1" applyFont="1" applyFill="1" applyBorder="1" applyAlignment="1">
      <alignment horizontal="center"/>
    </xf>
    <xf numFmtId="9" fontId="0" fillId="13" borderId="6" xfId="0" applyNumberFormat="1" applyFill="1" applyBorder="1" applyAlignment="1">
      <alignment horizontal="center"/>
    </xf>
    <xf numFmtId="0" fontId="30" fillId="16" borderId="8" xfId="0" applyFont="1" applyFill="1" applyBorder="1" applyAlignment="1">
      <alignment horizontal="center" wrapText="1" readingOrder="1"/>
    </xf>
    <xf numFmtId="0" fontId="30" fillId="16" borderId="11" xfId="0" applyFont="1" applyFill="1" applyBorder="1" applyAlignment="1">
      <alignment horizontal="center" wrapText="1" readingOrder="1"/>
    </xf>
    <xf numFmtId="0" fontId="30" fillId="16" borderId="12" xfId="0" applyFont="1" applyFill="1" applyBorder="1" applyAlignment="1">
      <alignment horizontal="center" wrapText="1" readingOrder="1"/>
    </xf>
    <xf numFmtId="0" fontId="30" fillId="0" borderId="13" xfId="0" applyFont="1" applyBorder="1" applyAlignment="1">
      <alignment horizontal="center" wrapText="1" readingOrder="1"/>
    </xf>
    <xf numFmtId="0" fontId="30" fillId="0" borderId="14" xfId="0" applyFont="1" applyBorder="1" applyAlignment="1">
      <alignment horizontal="center" wrapText="1" readingOrder="1"/>
    </xf>
    <xf numFmtId="0" fontId="30" fillId="16" borderId="13" xfId="0" applyFont="1" applyFill="1" applyBorder="1" applyAlignment="1">
      <alignment horizontal="center" wrapText="1" readingOrder="1"/>
    </xf>
    <xf numFmtId="0" fontId="30" fillId="16" borderId="14" xfId="0" applyFont="1" applyFill="1" applyBorder="1" applyAlignment="1">
      <alignment horizontal="center" wrapText="1" readingOrder="1"/>
    </xf>
    <xf numFmtId="0" fontId="30" fillId="17" borderId="14" xfId="0" applyFont="1" applyFill="1" applyBorder="1" applyAlignment="1">
      <alignment horizontal="center" wrapText="1" readingOrder="1"/>
    </xf>
    <xf numFmtId="165" fontId="30" fillId="17" borderId="14" xfId="1" applyNumberFormat="1" applyFont="1" applyFill="1" applyBorder="1" applyAlignment="1">
      <alignment horizontal="center" wrapText="1" readingOrder="1"/>
    </xf>
    <xf numFmtId="0" fontId="30" fillId="17" borderId="15" xfId="0" applyFont="1" applyFill="1" applyBorder="1" applyAlignment="1">
      <alignment horizontal="center" wrapText="1" readingOrder="1"/>
    </xf>
    <xf numFmtId="165" fontId="30" fillId="0" borderId="14" xfId="1" applyNumberFormat="1" applyFont="1" applyFill="1" applyBorder="1" applyAlignment="1">
      <alignment horizontal="center" wrapText="1" readingOrder="1"/>
    </xf>
    <xf numFmtId="0" fontId="30" fillId="16" borderId="9" xfId="0" applyFont="1" applyFill="1" applyBorder="1" applyAlignment="1">
      <alignment horizontal="center" vertical="center" wrapText="1" readingOrder="1"/>
    </xf>
    <xf numFmtId="0" fontId="30" fillId="2" borderId="9" xfId="0" applyFont="1" applyFill="1" applyBorder="1" applyAlignment="1">
      <alignment horizontal="center" vertical="center" wrapText="1" readingOrder="1"/>
    </xf>
    <xf numFmtId="0" fontId="30" fillId="2" borderId="10" xfId="0" applyFont="1" applyFill="1" applyBorder="1" applyAlignment="1">
      <alignment horizontal="center" vertical="center" wrapText="1" readingOrder="1"/>
    </xf>
    <xf numFmtId="0" fontId="30" fillId="3" borderId="14" xfId="0" applyFont="1" applyFill="1" applyBorder="1" applyAlignment="1">
      <alignment horizontal="center" wrapText="1" readingOrder="1"/>
    </xf>
    <xf numFmtId="0" fontId="30" fillId="3" borderId="15" xfId="0" applyFont="1" applyFill="1" applyBorder="1" applyAlignment="1">
      <alignment horizontal="center" wrapText="1" readingOrder="1"/>
    </xf>
    <xf numFmtId="9" fontId="30" fillId="3" borderId="14" xfId="1" applyFont="1" applyFill="1" applyBorder="1" applyAlignment="1">
      <alignment horizont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1" Type="http://schemas.openxmlformats.org/officeDocument/2006/relationships/customXml" Target="../ink/ink1.xml"/><Relationship Id="rId5" Type="http://schemas.openxmlformats.org/officeDocument/2006/relationships/customXml" Target="../ink/ink2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ustomXml" Target="../ink/ink3.xml"/><Relationship Id="rId11" Type="http://schemas.openxmlformats.org/officeDocument/2006/relationships/image" Target="../media/image5.png"/><Relationship Id="rId10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4320</xdr:rowOff>
    </xdr:from>
    <xdr:to>
      <xdr:col>1</xdr:col>
      <xdr:colOff>360</xdr:colOff>
      <xdr:row>1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327D6ABB-CECF-4F11-8830-BE6C2781D77E}"/>
                </a:ext>
              </a:extLst>
            </xdr14:cNvPr>
            <xdr14:cNvContentPartPr/>
          </xdr14:nvContentPartPr>
          <xdr14:nvPr macro=""/>
          <xdr14:xfrm>
            <a:off x="611038" y="234358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27D6ABB-CECF-4F11-8830-BE6C2781D77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327480" y="223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204223</xdr:colOff>
      <xdr:row>1</xdr:row>
      <xdr:rowOff>64698</xdr:rowOff>
    </xdr:from>
    <xdr:to>
      <xdr:col>21</xdr:col>
      <xdr:colOff>407980</xdr:colOff>
      <xdr:row>15</xdr:row>
      <xdr:rowOff>119636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1404F8-05D9-3E4B-F65F-1EB13A80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9110" y="265981"/>
          <a:ext cx="6314134" cy="287290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7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1B8629D0-84C2-4A8E-8A3C-D533612B1601}"/>
                </a:ext>
              </a:extLst>
            </xdr14:cNvPr>
            <xdr14:cNvContentPartPr/>
          </xdr14:nvContentPartPr>
          <xdr14:nvPr macro=""/>
          <xdr14:xfrm>
            <a:off x="611038" y="234358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27D6ABB-CECF-4F11-8830-BE6C2781D77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327480" y="223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160020</xdr:colOff>
      <xdr:row>1</xdr:row>
      <xdr:rowOff>45720</xdr:rowOff>
    </xdr:from>
    <xdr:to>
      <xdr:col>20</xdr:col>
      <xdr:colOff>557494</xdr:colOff>
      <xdr:row>10</xdr:row>
      <xdr:rowOff>176419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FECBF9-8812-3D53-1F3B-E06D6B20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6020" y="228600"/>
          <a:ext cx="6493474" cy="2470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</xdr:row>
      <xdr:rowOff>76200</xdr:rowOff>
    </xdr:from>
    <xdr:to>
      <xdr:col>20</xdr:col>
      <xdr:colOff>351217</xdr:colOff>
      <xdr:row>11</xdr:row>
      <xdr:rowOff>84027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8B5204-64D8-992A-1E18-57EA1BD09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259080"/>
          <a:ext cx="8047417" cy="2385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73839</xdr:rowOff>
    </xdr:from>
    <xdr:to>
      <xdr:col>0</xdr:col>
      <xdr:colOff>1080</xdr:colOff>
      <xdr:row>11</xdr:row>
      <xdr:rowOff>183279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AF9E6C0-A2F3-4164-8BA9-60349367725A}"/>
                </a:ext>
              </a:extLst>
            </xdr14:cNvPr>
            <xdr14:cNvContentPartPr/>
          </xdr14:nvContentPartPr>
          <xdr14:nvPr macro=""/>
          <xdr14:xfrm>
            <a:off x="0" y="2096501"/>
            <a:ext cx="1080" cy="1094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AF9E6C0-A2F3-4164-8BA9-60349367725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91240" y="2429640"/>
              <a:ext cx="1872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250147</xdr:colOff>
      <xdr:row>29</xdr:row>
      <xdr:rowOff>158283</xdr:rowOff>
    </xdr:from>
    <xdr:to>
      <xdr:col>6</xdr:col>
      <xdr:colOff>844081</xdr:colOff>
      <xdr:row>39</xdr:row>
      <xdr:rowOff>58830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DD4AACB-EF65-41AB-AD87-115C81AA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857" y="5656169"/>
          <a:ext cx="4649062" cy="17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0</xdr:row>
      <xdr:rowOff>228600</xdr:rowOff>
    </xdr:from>
    <xdr:to>
      <xdr:col>13</xdr:col>
      <xdr:colOff>61278</xdr:colOff>
      <xdr:row>13</xdr:row>
      <xdr:rowOff>66675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A73BCDC4-5709-4FFB-A24D-D534DF31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920" y="228600"/>
          <a:ext cx="7056438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167640</xdr:colOff>
      <xdr:row>1</xdr:row>
      <xdr:rowOff>105652</xdr:rowOff>
    </xdr:from>
    <xdr:to>
      <xdr:col>18</xdr:col>
      <xdr:colOff>123825</xdr:colOff>
      <xdr:row>13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355215D-B3B6-41C5-93FE-8D6E53F7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288532"/>
          <a:ext cx="4223385" cy="2165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1</xdr:row>
      <xdr:rowOff>60960</xdr:rowOff>
    </xdr:from>
    <xdr:to>
      <xdr:col>21</xdr:col>
      <xdr:colOff>346710</xdr:colOff>
      <xdr:row>18</xdr:row>
      <xdr:rowOff>9816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7746FBCC-F047-49EC-9B83-209CF18FF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43840"/>
          <a:ext cx="6747510" cy="3095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419528</xdr:colOff>
      <xdr:row>1</xdr:row>
      <xdr:rowOff>193874</xdr:rowOff>
    </xdr:from>
    <xdr:to>
      <xdr:col>25</xdr:col>
      <xdr:colOff>266581</xdr:colOff>
      <xdr:row>15</xdr:row>
      <xdr:rowOff>214584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A6D5B6-DECD-4510-907C-F3D3A6EE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4180" y="433604"/>
          <a:ext cx="7141704" cy="40640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326572</xdr:colOff>
      <xdr:row>1</xdr:row>
      <xdr:rowOff>32657</xdr:rowOff>
    </xdr:from>
    <xdr:to>
      <xdr:col>25</xdr:col>
      <xdr:colOff>471076</xdr:colOff>
      <xdr:row>17</xdr:row>
      <xdr:rowOff>89369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A49381-9781-4BEC-AF9D-F2497B7AB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1372" y="272143"/>
          <a:ext cx="7459704" cy="388848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13T00:49:38.240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0 0 4033,'0'0'7009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2:11:02.12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0 0 4033,'0'0'7009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3-13T01:19:49.44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35 3345,'0'0'10861,"2"-34"-1454,-2 133-9069,-1 23 424,2-40 2550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5864-AF8A-482C-AFE1-15E4C6407F46}">
  <dimension ref="A1:G30"/>
  <sheetViews>
    <sheetView topLeftCell="A7" zoomScale="81" zoomScaleNormal="81" workbookViewId="0">
      <selection activeCell="F6" sqref="F6"/>
    </sheetView>
  </sheetViews>
  <sheetFormatPr defaultRowHeight="22.15" customHeight="1" x14ac:dyDescent="0.25"/>
  <cols>
    <col min="1" max="1" width="7.85546875" customWidth="1"/>
    <col min="2" max="2" width="2.42578125" customWidth="1"/>
    <col min="3" max="3" width="52" style="1" customWidth="1"/>
    <col min="4" max="4" width="48.85546875" style="1" customWidth="1"/>
    <col min="6" max="6" width="43.7109375" style="1" customWidth="1"/>
    <col min="7" max="7" width="50.140625" customWidth="1"/>
  </cols>
  <sheetData>
    <row r="1" spans="3:7" ht="22.15" customHeight="1" thickBot="1" x14ac:dyDescent="0.3">
      <c r="G1" s="1" t="s">
        <v>22</v>
      </c>
    </row>
    <row r="2" spans="3:7" ht="22.15" customHeight="1" thickBot="1" x14ac:dyDescent="0.4">
      <c r="C2" s="43" t="s">
        <v>16</v>
      </c>
      <c r="D2" s="44"/>
      <c r="E2" s="44"/>
      <c r="F2" s="44"/>
      <c r="G2" s="45"/>
    </row>
    <row r="3" spans="3:7" ht="22.15" customHeight="1" x14ac:dyDescent="0.35">
      <c r="C3" s="5"/>
      <c r="D3" s="5"/>
      <c r="E3" s="5"/>
      <c r="F3" s="5"/>
      <c r="G3" s="5"/>
    </row>
    <row r="4" spans="3:7" s="17" customFormat="1" ht="22.15" customHeight="1" x14ac:dyDescent="0.45">
      <c r="C4" s="18"/>
      <c r="D4" s="18"/>
      <c r="E4" s="18"/>
      <c r="F4" s="18" t="s">
        <v>8</v>
      </c>
      <c r="G4" s="18" t="s">
        <v>10</v>
      </c>
    </row>
    <row r="5" spans="3:7" ht="22.15" customHeight="1" x14ac:dyDescent="0.35">
      <c r="C5" s="40" t="s">
        <v>3</v>
      </c>
      <c r="D5" s="41" t="s">
        <v>0</v>
      </c>
      <c r="E5" s="5"/>
      <c r="F5" s="40" t="s">
        <v>3</v>
      </c>
      <c r="G5" s="41" t="s">
        <v>0</v>
      </c>
    </row>
    <row r="6" spans="3:7" ht="22.15" customHeight="1" x14ac:dyDescent="0.35">
      <c r="C6" s="10">
        <v>0</v>
      </c>
      <c r="D6" s="7">
        <v>65</v>
      </c>
      <c r="E6" s="5"/>
      <c r="F6" s="10"/>
      <c r="G6" s="7"/>
    </row>
    <row r="7" spans="3:7" ht="22.15" customHeight="1" x14ac:dyDescent="0.35">
      <c r="C7" s="11">
        <v>1</v>
      </c>
      <c r="D7" s="8">
        <v>38</v>
      </c>
      <c r="E7" s="5"/>
      <c r="F7" s="11"/>
      <c r="G7" s="8"/>
    </row>
    <row r="8" spans="3:7" ht="22.15" customHeight="1" x14ac:dyDescent="0.35">
      <c r="C8" s="10">
        <v>2</v>
      </c>
      <c r="D8" s="7">
        <v>30</v>
      </c>
      <c r="E8" s="5"/>
      <c r="F8" s="10"/>
      <c r="G8" s="7"/>
    </row>
    <row r="9" spans="3:7" ht="22.15" customHeight="1" x14ac:dyDescent="0.35">
      <c r="C9" s="11">
        <v>3</v>
      </c>
      <c r="D9" s="8">
        <v>15</v>
      </c>
      <c r="E9" s="5"/>
      <c r="F9" s="11"/>
      <c r="G9" s="8"/>
    </row>
    <row r="10" spans="3:7" ht="22.15" customHeight="1" x14ac:dyDescent="0.35">
      <c r="C10" s="10">
        <v>4</v>
      </c>
      <c r="D10" s="7">
        <v>8</v>
      </c>
      <c r="E10" s="5"/>
      <c r="F10" s="10"/>
      <c r="G10" s="7"/>
    </row>
    <row r="11" spans="3:7" ht="22.15" customHeight="1" x14ac:dyDescent="0.35">
      <c r="C11" s="11">
        <v>5</v>
      </c>
      <c r="D11" s="8">
        <v>4</v>
      </c>
      <c r="E11" s="5"/>
      <c r="F11" s="11"/>
      <c r="G11" s="8"/>
    </row>
    <row r="12" spans="3:7" ht="22.15" customHeight="1" x14ac:dyDescent="0.35">
      <c r="C12" s="9" t="s">
        <v>1</v>
      </c>
      <c r="D12" s="6">
        <f>SUM(D6:D11)</f>
        <v>160</v>
      </c>
      <c r="E12" s="4"/>
      <c r="F12" s="40" t="s">
        <v>1</v>
      </c>
      <c r="G12" s="33"/>
    </row>
    <row r="13" spans="3:7" ht="63" x14ac:dyDescent="0.35">
      <c r="C13" s="5"/>
      <c r="D13" s="19" t="s">
        <v>21</v>
      </c>
      <c r="E13" s="4"/>
      <c r="F13" s="19" t="s">
        <v>9</v>
      </c>
      <c r="G13" s="19" t="s">
        <v>17</v>
      </c>
    </row>
    <row r="14" spans="3:7" ht="21" x14ac:dyDescent="0.35">
      <c r="C14" s="5"/>
      <c r="D14" s="5"/>
      <c r="E14" s="4"/>
      <c r="F14" s="19"/>
      <c r="G14" s="19"/>
    </row>
    <row r="15" spans="3:7" ht="21" x14ac:dyDescent="0.35">
      <c r="C15" s="5"/>
      <c r="D15" s="5"/>
      <c r="E15" s="4"/>
      <c r="F15" s="19"/>
      <c r="G15" s="19"/>
    </row>
    <row r="16" spans="3:7" ht="22.15" customHeight="1" x14ac:dyDescent="0.25">
      <c r="C16" s="3"/>
      <c r="D16" s="3"/>
      <c r="E16" s="4"/>
      <c r="F16" s="3"/>
      <c r="G16" s="4"/>
    </row>
    <row r="17" spans="1:7" ht="22.15" customHeight="1" thickBot="1" x14ac:dyDescent="0.3">
      <c r="C17" s="3"/>
      <c r="D17" s="3"/>
      <c r="E17" s="4"/>
      <c r="F17" s="3"/>
      <c r="G17" s="4"/>
    </row>
    <row r="18" spans="1:7" ht="22.15" customHeight="1" thickBot="1" x14ac:dyDescent="0.4">
      <c r="C18" s="43" t="s">
        <v>20</v>
      </c>
      <c r="D18" s="44"/>
      <c r="E18" s="44"/>
      <c r="F18" s="44"/>
      <c r="G18" s="45"/>
    </row>
    <row r="20" spans="1:7" ht="21" x14ac:dyDescent="0.35">
      <c r="C20" s="9" t="s">
        <v>4</v>
      </c>
      <c r="D20" s="6" t="s">
        <v>0</v>
      </c>
      <c r="E20" s="12"/>
      <c r="F20" s="12"/>
      <c r="G20" s="12"/>
    </row>
    <row r="21" spans="1:7" ht="21" x14ac:dyDescent="0.35">
      <c r="C21" s="15" t="s">
        <v>23</v>
      </c>
      <c r="D21" s="13">
        <v>58</v>
      </c>
      <c r="E21" s="12"/>
      <c r="F21" s="12"/>
      <c r="G21" s="12"/>
    </row>
    <row r="22" spans="1:7" ht="26.25" x14ac:dyDescent="0.4">
      <c r="A22" s="29" t="s">
        <v>18</v>
      </c>
      <c r="C22" s="16" t="s">
        <v>24</v>
      </c>
      <c r="D22" s="14">
        <v>74</v>
      </c>
      <c r="E22" s="12"/>
      <c r="F22" s="12"/>
      <c r="G22" s="12"/>
    </row>
    <row r="23" spans="1:7" ht="21" x14ac:dyDescent="0.35">
      <c r="C23" s="15" t="s">
        <v>25</v>
      </c>
      <c r="D23" s="13">
        <v>55</v>
      </c>
      <c r="E23" s="12"/>
      <c r="F23" s="12"/>
      <c r="G23" s="12"/>
    </row>
    <row r="24" spans="1:7" ht="21" x14ac:dyDescent="0.35">
      <c r="C24" s="16" t="s">
        <v>26</v>
      </c>
      <c r="D24" s="14">
        <v>37</v>
      </c>
      <c r="E24" s="12"/>
      <c r="F24" s="12"/>
      <c r="G24" s="12"/>
    </row>
    <row r="25" spans="1:7" ht="21" x14ac:dyDescent="0.35">
      <c r="C25" s="15" t="s">
        <v>27</v>
      </c>
      <c r="D25" s="13">
        <v>30</v>
      </c>
      <c r="E25" s="12"/>
      <c r="F25" s="12"/>
      <c r="G25" s="12"/>
    </row>
    <row r="26" spans="1:7" ht="21" x14ac:dyDescent="0.35">
      <c r="C26" s="16" t="s">
        <v>28</v>
      </c>
      <c r="D26" s="14">
        <v>25</v>
      </c>
      <c r="E26" s="12"/>
      <c r="F26" s="12"/>
      <c r="G26" s="12"/>
    </row>
    <row r="27" spans="1:7" ht="21" x14ac:dyDescent="0.35">
      <c r="C27" s="15" t="s">
        <v>29</v>
      </c>
      <c r="D27" s="13">
        <v>22</v>
      </c>
      <c r="E27" s="12"/>
      <c r="F27" s="12"/>
      <c r="G27" s="12"/>
    </row>
    <row r="28" spans="1:7" ht="21" x14ac:dyDescent="0.35">
      <c r="C28" s="16" t="s">
        <v>30</v>
      </c>
      <c r="D28" s="14">
        <v>19</v>
      </c>
      <c r="E28" s="12"/>
      <c r="F28" s="12"/>
      <c r="G28" s="12"/>
    </row>
    <row r="29" spans="1:7" ht="21" x14ac:dyDescent="0.35">
      <c r="C29" s="9" t="s">
        <v>1</v>
      </c>
      <c r="D29" s="6">
        <f>SUM(D21:D28)</f>
        <v>320</v>
      </c>
      <c r="E29" s="12"/>
      <c r="F29" s="12"/>
      <c r="G29" s="12"/>
    </row>
    <row r="30" spans="1:7" ht="22.15" customHeight="1" x14ac:dyDescent="0.35">
      <c r="C30" s="5"/>
      <c r="D30" s="5"/>
      <c r="E30" s="12"/>
      <c r="F30" s="12"/>
      <c r="G30" s="12"/>
    </row>
  </sheetData>
  <mergeCells count="2">
    <mergeCell ref="C2:G2"/>
    <mergeCell ref="C18:G18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EBA6-D213-44E7-84AC-5B0EF297EC84}">
  <dimension ref="B1:F17"/>
  <sheetViews>
    <sheetView topLeftCell="C1" zoomScale="91" zoomScaleNormal="91" workbookViewId="0">
      <selection activeCell="B5" sqref="B5:F12"/>
    </sheetView>
  </sheetViews>
  <sheetFormatPr defaultRowHeight="15" x14ac:dyDescent="0.25"/>
  <cols>
    <col min="1" max="1" width="4.7109375" customWidth="1"/>
    <col min="2" max="2" width="43.85546875" bestFit="1" customWidth="1"/>
    <col min="3" max="3" width="38.42578125" customWidth="1"/>
    <col min="4" max="5" width="36.140625" customWidth="1"/>
    <col min="6" max="6" width="39.7109375" customWidth="1"/>
  </cols>
  <sheetData>
    <row r="1" spans="2:6" ht="15.75" thickBot="1" x14ac:dyDescent="0.3"/>
    <row r="2" spans="2:6" ht="24" thickBot="1" x14ac:dyDescent="0.4">
      <c r="B2" s="46" t="s">
        <v>5</v>
      </c>
      <c r="C2" s="47"/>
      <c r="D2" s="47"/>
      <c r="E2" s="47"/>
      <c r="F2" s="48"/>
    </row>
    <row r="4" spans="2:6" s="2" customFormat="1" ht="30.75" x14ac:dyDescent="0.55000000000000004">
      <c r="B4" s="18" t="s">
        <v>8</v>
      </c>
      <c r="C4" s="23" t="s">
        <v>12</v>
      </c>
      <c r="D4" s="24" t="s">
        <v>13</v>
      </c>
      <c r="E4" s="24" t="s">
        <v>14</v>
      </c>
      <c r="F4" s="24" t="s">
        <v>15</v>
      </c>
    </row>
    <row r="5" spans="2:6" ht="23.25" x14ac:dyDescent="0.35">
      <c r="B5" s="25" t="s">
        <v>3</v>
      </c>
      <c r="C5" s="21" t="s">
        <v>0</v>
      </c>
      <c r="D5" s="22" t="s">
        <v>11</v>
      </c>
      <c r="E5" s="22" t="s">
        <v>6</v>
      </c>
      <c r="F5" s="22" t="s">
        <v>7</v>
      </c>
    </row>
    <row r="6" spans="2:6" ht="21" x14ac:dyDescent="0.35">
      <c r="B6" s="10"/>
      <c r="C6" s="7"/>
      <c r="D6" s="35"/>
      <c r="E6" s="7"/>
      <c r="F6" s="7"/>
    </row>
    <row r="7" spans="2:6" ht="21" x14ac:dyDescent="0.35">
      <c r="B7" s="11"/>
      <c r="C7" s="8"/>
      <c r="D7" s="36"/>
      <c r="E7" s="8"/>
      <c r="F7" s="8"/>
    </row>
    <row r="8" spans="2:6" ht="21" x14ac:dyDescent="0.35">
      <c r="B8" s="10"/>
      <c r="C8" s="7"/>
      <c r="D8" s="35"/>
      <c r="E8" s="7"/>
      <c r="F8" s="7"/>
    </row>
    <row r="9" spans="2:6" ht="21" x14ac:dyDescent="0.35">
      <c r="B9" s="11"/>
      <c r="C9" s="8"/>
      <c r="D9" s="36"/>
      <c r="E9" s="8"/>
      <c r="F9" s="8"/>
    </row>
    <row r="10" spans="2:6" ht="21" x14ac:dyDescent="0.35">
      <c r="B10" s="10"/>
      <c r="C10" s="7"/>
      <c r="D10" s="35"/>
      <c r="E10" s="7"/>
      <c r="F10" s="7"/>
    </row>
    <row r="11" spans="2:6" ht="21" x14ac:dyDescent="0.35">
      <c r="B11" s="11"/>
      <c r="C11" s="8"/>
      <c r="D11" s="36"/>
      <c r="E11" s="34"/>
      <c r="F11" s="37"/>
    </row>
    <row r="12" spans="2:6" ht="21" x14ac:dyDescent="0.35">
      <c r="B12" s="9" t="s">
        <v>1</v>
      </c>
      <c r="C12" s="38"/>
      <c r="D12" s="39"/>
      <c r="E12" s="20" t="s">
        <v>2</v>
      </c>
      <c r="F12" s="20" t="s">
        <v>2</v>
      </c>
    </row>
    <row r="17" spans="3:3" x14ac:dyDescent="0.25">
      <c r="C17" s="26"/>
    </row>
  </sheetData>
  <mergeCells count="1">
    <mergeCell ref="B2:F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E113-3DA8-4346-8ADE-6E601BCC49FF}">
  <dimension ref="F11:M69"/>
  <sheetViews>
    <sheetView zoomScaleNormal="100" workbookViewId="0">
      <selection activeCell="H25" sqref="H25"/>
    </sheetView>
  </sheetViews>
  <sheetFormatPr defaultColWidth="8.85546875" defaultRowHeight="15.75" x14ac:dyDescent="0.25"/>
  <cols>
    <col min="1" max="1" width="3" style="42" customWidth="1"/>
    <col min="2" max="5" width="7" style="42" customWidth="1"/>
    <col min="6" max="6" width="12" style="42" bestFit="1" customWidth="1"/>
    <col min="7" max="7" width="16.140625" style="42" bestFit="1" customWidth="1"/>
    <col min="8" max="11" width="7" style="42" customWidth="1"/>
    <col min="12" max="16384" width="8.85546875" style="42"/>
  </cols>
  <sheetData>
    <row r="11" spans="6:11" x14ac:dyDescent="0.25">
      <c r="F11" s="74" t="s">
        <v>56</v>
      </c>
      <c r="G11" s="74" t="s">
        <v>57</v>
      </c>
      <c r="H11" s="74"/>
      <c r="I11" s="74"/>
      <c r="J11" s="74"/>
      <c r="K11" s="74"/>
    </row>
    <row r="12" spans="6:11" x14ac:dyDescent="0.25">
      <c r="F12" s="73" t="s">
        <v>59</v>
      </c>
      <c r="G12" s="72">
        <f>COUNTIFS($M$20:$M$69, "&gt;=30", $M$20:$M$69, "&lt;40")</f>
        <v>4</v>
      </c>
      <c r="H12" s="72"/>
      <c r="I12" s="72"/>
      <c r="J12" s="72"/>
      <c r="K12" s="72"/>
    </row>
    <row r="13" spans="6:11" x14ac:dyDescent="0.25">
      <c r="F13" s="73" t="s">
        <v>50</v>
      </c>
      <c r="G13" s="72">
        <f>COUNTIFS($M$20:$M$69, "&gt;=40", $M$20:$M$69, "&lt;50")</f>
        <v>6</v>
      </c>
      <c r="H13" s="72"/>
      <c r="I13" s="72"/>
      <c r="J13" s="72"/>
      <c r="K13" s="72"/>
    </row>
    <row r="14" spans="6:11" x14ac:dyDescent="0.25">
      <c r="F14" s="73" t="s">
        <v>51</v>
      </c>
      <c r="G14" s="72">
        <f>COUNTIFS($M$20:$M$69, "&gt;=50", $M$20:$M$69, "&lt;60")</f>
        <v>9</v>
      </c>
      <c r="H14" s="72"/>
      <c r="I14" s="72"/>
      <c r="J14" s="72"/>
      <c r="K14" s="72"/>
    </row>
    <row r="15" spans="6:11" x14ac:dyDescent="0.25">
      <c r="F15" s="73" t="s">
        <v>52</v>
      </c>
      <c r="G15" s="72">
        <f>COUNTIFS($M$20:$M$69, "&gt;=60", $M$20:$M$69, "&lt;70")</f>
        <v>11</v>
      </c>
      <c r="H15" s="72"/>
      <c r="I15" s="72"/>
      <c r="J15" s="72"/>
      <c r="K15" s="72"/>
    </row>
    <row r="16" spans="6:11" x14ac:dyDescent="0.25">
      <c r="F16" s="73" t="s">
        <v>53</v>
      </c>
      <c r="G16" s="72">
        <f>COUNTIFS($M$20:$M$69, "&gt;=70", $M$20:$M$69, "&lt;80")</f>
        <v>9</v>
      </c>
      <c r="H16" s="72"/>
      <c r="I16" s="72"/>
      <c r="J16" s="72"/>
      <c r="K16" s="72"/>
    </row>
    <row r="17" spans="6:13" x14ac:dyDescent="0.25">
      <c r="F17" s="73" t="s">
        <v>54</v>
      </c>
      <c r="G17" s="72">
        <f>COUNTIFS($M$20:$M$69, "&gt;=80", $M$20:$M$69, "&lt;90")</f>
        <v>7</v>
      </c>
      <c r="H17" s="72"/>
      <c r="I17" s="72"/>
      <c r="J17" s="72"/>
      <c r="K17" s="72"/>
    </row>
    <row r="18" spans="6:13" x14ac:dyDescent="0.25">
      <c r="F18" s="73" t="s">
        <v>55</v>
      </c>
      <c r="G18" s="72">
        <f>COUNTIFS($M$20:$M$69, "&gt;=90", $M$20:$M$69, "&lt;100")</f>
        <v>4</v>
      </c>
      <c r="H18" s="72"/>
      <c r="I18" s="72"/>
      <c r="J18" s="72"/>
      <c r="K18" s="72"/>
    </row>
    <row r="19" spans="6:13" ht="16.5" thickBot="1" x14ac:dyDescent="0.3">
      <c r="F19" s="75" t="s">
        <v>58</v>
      </c>
      <c r="G19" s="75">
        <f>SUM(G12:G18)</f>
        <v>50</v>
      </c>
      <c r="H19" s="75"/>
      <c r="I19" s="75"/>
      <c r="J19" s="75"/>
      <c r="K19" s="75"/>
    </row>
    <row r="20" spans="6:13" ht="21.75" thickBot="1" x14ac:dyDescent="0.4">
      <c r="M20" s="71">
        <v>84</v>
      </c>
    </row>
    <row r="21" spans="6:13" ht="21.75" thickBot="1" x14ac:dyDescent="0.4">
      <c r="M21" s="71">
        <v>74</v>
      </c>
    </row>
    <row r="22" spans="6:13" ht="21.75" thickBot="1" x14ac:dyDescent="0.4">
      <c r="M22" s="71">
        <v>59</v>
      </c>
    </row>
    <row r="23" spans="6:13" ht="21.75" thickBot="1" x14ac:dyDescent="0.4">
      <c r="M23" s="71">
        <v>67</v>
      </c>
    </row>
    <row r="24" spans="6:13" ht="21.75" thickBot="1" x14ac:dyDescent="0.4">
      <c r="M24" s="71">
        <v>65</v>
      </c>
    </row>
    <row r="25" spans="6:13" ht="21.75" thickBot="1" x14ac:dyDescent="0.4">
      <c r="M25" s="71">
        <v>68</v>
      </c>
    </row>
    <row r="26" spans="6:13" ht="21.75" thickBot="1" x14ac:dyDescent="0.4">
      <c r="M26" s="71">
        <v>71</v>
      </c>
    </row>
    <row r="27" spans="6:13" ht="21.75" thickBot="1" x14ac:dyDescent="0.4">
      <c r="M27" s="71">
        <v>80</v>
      </c>
    </row>
    <row r="28" spans="6:13" ht="21.75" thickBot="1" x14ac:dyDescent="0.4">
      <c r="M28" s="71">
        <v>41</v>
      </c>
    </row>
    <row r="29" spans="6:13" ht="21.75" thickBot="1" x14ac:dyDescent="0.4">
      <c r="M29" s="71">
        <v>94</v>
      </c>
    </row>
    <row r="30" spans="6:13" ht="21.75" thickBot="1" x14ac:dyDescent="0.4">
      <c r="M30" s="71">
        <v>33</v>
      </c>
    </row>
    <row r="31" spans="6:13" ht="21.75" thickBot="1" x14ac:dyDescent="0.4">
      <c r="M31" s="71">
        <v>81</v>
      </c>
    </row>
    <row r="32" spans="6:13" ht="21.75" thickBot="1" x14ac:dyDescent="0.4">
      <c r="M32" s="71">
        <v>41</v>
      </c>
    </row>
    <row r="33" spans="13:13" ht="21.75" thickBot="1" x14ac:dyDescent="0.4">
      <c r="M33" s="71">
        <v>78</v>
      </c>
    </row>
    <row r="34" spans="13:13" ht="21.75" thickBot="1" x14ac:dyDescent="0.4">
      <c r="M34" s="71">
        <v>66</v>
      </c>
    </row>
    <row r="35" spans="13:13" ht="21.75" thickBot="1" x14ac:dyDescent="0.4">
      <c r="M35" s="71">
        <v>52</v>
      </c>
    </row>
    <row r="36" spans="13:13" ht="21.75" thickBot="1" x14ac:dyDescent="0.4">
      <c r="M36" s="71">
        <v>91</v>
      </c>
    </row>
    <row r="37" spans="13:13" ht="21.75" thickBot="1" x14ac:dyDescent="0.4">
      <c r="M37" s="71">
        <v>50</v>
      </c>
    </row>
    <row r="38" spans="13:13" ht="21.75" thickBot="1" x14ac:dyDescent="0.4">
      <c r="M38" s="71">
        <v>56</v>
      </c>
    </row>
    <row r="39" spans="13:13" ht="21.75" thickBot="1" x14ac:dyDescent="0.4">
      <c r="M39" s="71">
        <v>48</v>
      </c>
    </row>
    <row r="40" spans="13:13" ht="21.75" thickBot="1" x14ac:dyDescent="0.4">
      <c r="M40" s="71">
        <v>47</v>
      </c>
    </row>
    <row r="41" spans="13:13" ht="21.75" thickBot="1" x14ac:dyDescent="0.4">
      <c r="M41" s="71">
        <v>65</v>
      </c>
    </row>
    <row r="42" spans="13:13" ht="21.75" thickBot="1" x14ac:dyDescent="0.4">
      <c r="M42" s="71">
        <v>53</v>
      </c>
    </row>
    <row r="43" spans="13:13" ht="21.75" thickBot="1" x14ac:dyDescent="0.4">
      <c r="M43" s="71">
        <v>94</v>
      </c>
    </row>
    <row r="44" spans="13:13" ht="21.75" thickBot="1" x14ac:dyDescent="0.4">
      <c r="M44" s="71">
        <v>39</v>
      </c>
    </row>
    <row r="45" spans="13:13" ht="21.75" thickBot="1" x14ac:dyDescent="0.4">
      <c r="M45" s="71">
        <v>73</v>
      </c>
    </row>
    <row r="46" spans="13:13" ht="21.75" thickBot="1" x14ac:dyDescent="0.4">
      <c r="M46" s="71">
        <v>55</v>
      </c>
    </row>
    <row r="47" spans="13:13" ht="21.75" thickBot="1" x14ac:dyDescent="0.4">
      <c r="M47" s="71">
        <v>65</v>
      </c>
    </row>
    <row r="48" spans="13:13" ht="21.75" thickBot="1" x14ac:dyDescent="0.4">
      <c r="M48" s="71">
        <v>35</v>
      </c>
    </row>
    <row r="49" spans="13:13" ht="21.75" thickBot="1" x14ac:dyDescent="0.4">
      <c r="M49" s="71">
        <v>62</v>
      </c>
    </row>
    <row r="50" spans="13:13" ht="21.75" thickBot="1" x14ac:dyDescent="0.4">
      <c r="M50" s="71">
        <v>68</v>
      </c>
    </row>
    <row r="51" spans="13:13" ht="21.75" thickBot="1" x14ac:dyDescent="0.4">
      <c r="M51" s="71">
        <v>57</v>
      </c>
    </row>
    <row r="52" spans="13:13" ht="21.75" thickBot="1" x14ac:dyDescent="0.4">
      <c r="M52" s="71">
        <v>76</v>
      </c>
    </row>
    <row r="53" spans="13:13" ht="21.75" thickBot="1" x14ac:dyDescent="0.4">
      <c r="M53" s="71">
        <v>45</v>
      </c>
    </row>
    <row r="54" spans="13:13" ht="21.75" thickBot="1" x14ac:dyDescent="0.4">
      <c r="M54" s="71">
        <v>89</v>
      </c>
    </row>
    <row r="55" spans="13:13" ht="21.75" thickBot="1" x14ac:dyDescent="0.4">
      <c r="M55" s="71">
        <v>61</v>
      </c>
    </row>
    <row r="56" spans="13:13" ht="21.75" thickBot="1" x14ac:dyDescent="0.4">
      <c r="M56" s="71">
        <v>35</v>
      </c>
    </row>
    <row r="57" spans="13:13" ht="21.75" thickBot="1" x14ac:dyDescent="0.4">
      <c r="M57" s="71">
        <v>85</v>
      </c>
    </row>
    <row r="58" spans="13:13" ht="21.75" thickBot="1" x14ac:dyDescent="0.4">
      <c r="M58" s="71">
        <v>55</v>
      </c>
    </row>
    <row r="59" spans="13:13" ht="21.75" thickBot="1" x14ac:dyDescent="0.4">
      <c r="M59" s="71">
        <v>98</v>
      </c>
    </row>
    <row r="60" spans="13:13" ht="21.75" thickBot="1" x14ac:dyDescent="0.4">
      <c r="M60" s="71">
        <v>73</v>
      </c>
    </row>
    <row r="61" spans="13:13" ht="21.75" thickBot="1" x14ac:dyDescent="0.4">
      <c r="M61" s="71">
        <v>85</v>
      </c>
    </row>
    <row r="62" spans="13:13" ht="21.75" thickBot="1" x14ac:dyDescent="0.4">
      <c r="M62" s="71">
        <v>73</v>
      </c>
    </row>
    <row r="63" spans="13:13" ht="21.75" thickBot="1" x14ac:dyDescent="0.4">
      <c r="M63" s="71">
        <v>64</v>
      </c>
    </row>
    <row r="64" spans="13:13" ht="21.75" thickBot="1" x14ac:dyDescent="0.4">
      <c r="M64" s="71">
        <v>42</v>
      </c>
    </row>
    <row r="65" spans="13:13" ht="21.75" thickBot="1" x14ac:dyDescent="0.4">
      <c r="M65" s="71">
        <v>77</v>
      </c>
    </row>
    <row r="66" spans="13:13" ht="21.75" thickBot="1" x14ac:dyDescent="0.4">
      <c r="M66" s="71">
        <v>88</v>
      </c>
    </row>
    <row r="67" spans="13:13" ht="21.75" thickBot="1" x14ac:dyDescent="0.4">
      <c r="M67" s="71">
        <v>60</v>
      </c>
    </row>
    <row r="68" spans="13:13" ht="21.75" thickBot="1" x14ac:dyDescent="0.4">
      <c r="M68" s="71">
        <v>74</v>
      </c>
    </row>
    <row r="69" spans="13:13" ht="21.75" thickBot="1" x14ac:dyDescent="0.4">
      <c r="M69" s="71">
        <v>54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A59B-DB00-4868-A68A-8230FD84A074}">
  <dimension ref="A2:A8"/>
  <sheetViews>
    <sheetView workbookViewId="0">
      <selection activeCell="B2" sqref="B2"/>
    </sheetView>
  </sheetViews>
  <sheetFormatPr defaultRowHeight="15" x14ac:dyDescent="0.25"/>
  <sheetData>
    <row r="2" ht="22.15" customHeight="1" x14ac:dyDescent="0.25"/>
    <row r="3" ht="22.15" customHeight="1" x14ac:dyDescent="0.25"/>
    <row r="4" ht="22.15" customHeight="1" x14ac:dyDescent="0.25"/>
    <row r="5" ht="22.15" customHeight="1" x14ac:dyDescent="0.25"/>
    <row r="6" ht="22.15" customHeight="1" x14ac:dyDescent="0.25"/>
    <row r="7" ht="22.15" customHeight="1" x14ac:dyDescent="0.25"/>
    <row r="8" ht="22.1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9EC4-D7CC-4F87-B8E5-40C79F11464E}">
  <dimension ref="B3:I39"/>
  <sheetViews>
    <sheetView topLeftCell="A2" zoomScale="85" zoomScaleNormal="85" workbookViewId="0">
      <selection activeCell="B14" sqref="B14"/>
    </sheetView>
  </sheetViews>
  <sheetFormatPr defaultRowHeight="15" x14ac:dyDescent="0.25"/>
  <cols>
    <col min="2" max="2" width="43.42578125" bestFit="1" customWidth="1"/>
    <col min="3" max="3" width="31.85546875" bestFit="1" customWidth="1"/>
    <col min="4" max="4" width="33" bestFit="1" customWidth="1"/>
    <col min="5" max="5" width="37.85546875" bestFit="1" customWidth="1"/>
    <col min="6" max="6" width="41.7109375" bestFit="1" customWidth="1"/>
  </cols>
  <sheetData>
    <row r="3" spans="2:9" ht="19.899999999999999" customHeight="1" x14ac:dyDescent="0.25"/>
    <row r="4" spans="2:9" ht="19.899999999999999" customHeight="1" x14ac:dyDescent="0.25"/>
    <row r="5" spans="2:9" ht="19.899999999999999" customHeight="1" x14ac:dyDescent="0.25"/>
    <row r="6" spans="2:9" ht="19.899999999999999" customHeight="1" x14ac:dyDescent="0.25"/>
    <row r="7" spans="2:9" ht="19.899999999999999" customHeight="1" x14ac:dyDescent="0.25"/>
    <row r="8" spans="2:9" ht="19.899999999999999" customHeight="1" x14ac:dyDescent="0.25"/>
    <row r="9" spans="2:9" ht="19.899999999999999" customHeight="1" x14ac:dyDescent="0.25"/>
    <row r="10" spans="2:9" ht="19.899999999999999" customHeight="1" x14ac:dyDescent="0.25"/>
    <row r="14" spans="2:9" ht="23.25" x14ac:dyDescent="0.35">
      <c r="B14" s="25" t="s">
        <v>31</v>
      </c>
      <c r="C14" s="22" t="s">
        <v>49</v>
      </c>
      <c r="D14" s="22" t="s">
        <v>11</v>
      </c>
      <c r="E14" s="22" t="s">
        <v>6</v>
      </c>
      <c r="F14" s="22" t="s">
        <v>7</v>
      </c>
    </row>
    <row r="15" spans="2:9" ht="21" x14ac:dyDescent="0.35">
      <c r="B15" s="10">
        <v>10</v>
      </c>
      <c r="C15" s="7">
        <f>COUNTIFS($I$16:$I$39, "10")</f>
        <v>1</v>
      </c>
      <c r="D15" s="52">
        <f>C15/$C$23</f>
        <v>4.1666666666666664E-2</v>
      </c>
      <c r="E15" s="7">
        <f>C15</f>
        <v>1</v>
      </c>
      <c r="F15" s="50">
        <f>D15</f>
        <v>4.1666666666666664E-2</v>
      </c>
    </row>
    <row r="16" spans="2:9" ht="21" x14ac:dyDescent="0.35">
      <c r="B16" s="11">
        <v>11</v>
      </c>
      <c r="C16" s="8">
        <f>COUNTIFS($I$16:$I$39, "11")</f>
        <v>3</v>
      </c>
      <c r="D16" s="69">
        <f t="shared" ref="D16:D22" si="0">C16/$C$23</f>
        <v>0.125</v>
      </c>
      <c r="E16" s="8">
        <f>E15+C16</f>
        <v>4</v>
      </c>
      <c r="F16" s="51">
        <f>F15+D16</f>
        <v>0.16666666666666666</v>
      </c>
      <c r="I16">
        <v>14</v>
      </c>
    </row>
    <row r="17" spans="2:9" ht="21" x14ac:dyDescent="0.35">
      <c r="B17" s="10">
        <v>12</v>
      </c>
      <c r="C17" s="7">
        <f>COUNTIFS($I$16:$I$39, "12")</f>
        <v>4</v>
      </c>
      <c r="D17" s="52">
        <f t="shared" si="0"/>
        <v>0.16666666666666666</v>
      </c>
      <c r="E17" s="7">
        <f t="shared" ref="E17:E22" si="1">E16+C17</f>
        <v>8</v>
      </c>
      <c r="F17" s="70">
        <f t="shared" ref="F17:F22" si="2">F16+D17</f>
        <v>0.33333333333333331</v>
      </c>
      <c r="I17">
        <v>12</v>
      </c>
    </row>
    <row r="18" spans="2:9" ht="21" x14ac:dyDescent="0.35">
      <c r="B18" s="11">
        <v>13</v>
      </c>
      <c r="C18" s="8">
        <f>COUNTIFS($I$16:$I$39, "13")</f>
        <v>5</v>
      </c>
      <c r="D18" s="69">
        <f t="shared" si="0"/>
        <v>0.20833333333333334</v>
      </c>
      <c r="E18" s="8">
        <f t="shared" si="1"/>
        <v>13</v>
      </c>
      <c r="F18" s="51">
        <f t="shared" si="2"/>
        <v>0.54166666666666663</v>
      </c>
      <c r="I18">
        <v>11</v>
      </c>
    </row>
    <row r="19" spans="2:9" ht="21" x14ac:dyDescent="0.35">
      <c r="B19" s="10">
        <v>14</v>
      </c>
      <c r="C19" s="7">
        <f>COUNTIFS($I$16:$I$39, "14")</f>
        <v>7</v>
      </c>
      <c r="D19" s="52">
        <f t="shared" si="0"/>
        <v>0.29166666666666669</v>
      </c>
      <c r="E19" s="7">
        <f t="shared" si="1"/>
        <v>20</v>
      </c>
      <c r="F19" s="70">
        <f t="shared" si="2"/>
        <v>0.83333333333333326</v>
      </c>
      <c r="I19">
        <v>13</v>
      </c>
    </row>
    <row r="20" spans="2:9" ht="21" x14ac:dyDescent="0.35">
      <c r="B20" s="11">
        <v>15</v>
      </c>
      <c r="C20" s="8">
        <f>COUNTIFS($I$16:$I$39, "15")</f>
        <v>2</v>
      </c>
      <c r="D20" s="69">
        <f t="shared" si="0"/>
        <v>8.3333333333333329E-2</v>
      </c>
      <c r="E20" s="8">
        <f t="shared" si="1"/>
        <v>22</v>
      </c>
      <c r="F20" s="51">
        <f t="shared" si="2"/>
        <v>0.91666666666666663</v>
      </c>
      <c r="I20">
        <v>14</v>
      </c>
    </row>
    <row r="21" spans="2:9" ht="21" x14ac:dyDescent="0.35">
      <c r="B21" s="10">
        <v>16</v>
      </c>
      <c r="C21" s="7">
        <f>COUNTIFS($I$16:$I$39, "16")</f>
        <v>1</v>
      </c>
      <c r="D21" s="52">
        <f t="shared" si="0"/>
        <v>4.1666666666666664E-2</v>
      </c>
      <c r="E21" s="7">
        <f t="shared" si="1"/>
        <v>23</v>
      </c>
      <c r="F21" s="70">
        <f t="shared" si="2"/>
        <v>0.95833333333333326</v>
      </c>
      <c r="I21">
        <v>13</v>
      </c>
    </row>
    <row r="22" spans="2:9" ht="21" x14ac:dyDescent="0.35">
      <c r="B22" s="11">
        <v>17</v>
      </c>
      <c r="C22" s="8">
        <f>COUNTIFS($I$16:$I$39, "17")</f>
        <v>1</v>
      </c>
      <c r="D22" s="69">
        <f t="shared" si="0"/>
        <v>4.1666666666666664E-2</v>
      </c>
      <c r="E22" s="8">
        <f t="shared" si="1"/>
        <v>24</v>
      </c>
      <c r="F22" s="51">
        <f t="shared" si="2"/>
        <v>0.99999999999999989</v>
      </c>
      <c r="I22">
        <v>12</v>
      </c>
    </row>
    <row r="23" spans="2:9" ht="21" x14ac:dyDescent="0.35">
      <c r="B23" s="9" t="s">
        <v>1</v>
      </c>
      <c r="C23" s="38">
        <f>SUM(C15:C22)</f>
        <v>24</v>
      </c>
      <c r="D23" s="49">
        <f>SUM(D15:D22)</f>
        <v>0.99999999999999989</v>
      </c>
      <c r="E23" s="20" t="s">
        <v>2</v>
      </c>
      <c r="F23" s="20" t="s">
        <v>2</v>
      </c>
      <c r="I23">
        <v>14</v>
      </c>
    </row>
    <row r="24" spans="2:9" x14ac:dyDescent="0.25">
      <c r="I24">
        <v>13</v>
      </c>
    </row>
    <row r="25" spans="2:9" x14ac:dyDescent="0.25">
      <c r="I25">
        <v>14</v>
      </c>
    </row>
    <row r="26" spans="2:9" x14ac:dyDescent="0.25">
      <c r="I26">
        <v>11</v>
      </c>
    </row>
    <row r="27" spans="2:9" x14ac:dyDescent="0.25">
      <c r="I27">
        <v>12</v>
      </c>
    </row>
    <row r="28" spans="2:9" x14ac:dyDescent="0.25">
      <c r="I28">
        <v>12</v>
      </c>
    </row>
    <row r="29" spans="2:9" x14ac:dyDescent="0.25">
      <c r="I29">
        <v>14</v>
      </c>
    </row>
    <row r="30" spans="2:9" x14ac:dyDescent="0.25">
      <c r="I30">
        <v>10</v>
      </c>
    </row>
    <row r="31" spans="2:9" x14ac:dyDescent="0.25">
      <c r="I31">
        <v>13</v>
      </c>
    </row>
    <row r="32" spans="2:9" x14ac:dyDescent="0.25">
      <c r="I32">
        <v>15</v>
      </c>
    </row>
    <row r="33" spans="9:9" x14ac:dyDescent="0.25">
      <c r="I33">
        <v>11</v>
      </c>
    </row>
    <row r="34" spans="9:9" x14ac:dyDescent="0.25">
      <c r="I34">
        <v>15</v>
      </c>
    </row>
    <row r="35" spans="9:9" x14ac:dyDescent="0.25">
      <c r="I35">
        <v>13</v>
      </c>
    </row>
    <row r="36" spans="9:9" x14ac:dyDescent="0.25">
      <c r="I36">
        <v>16</v>
      </c>
    </row>
    <row r="37" spans="9:9" x14ac:dyDescent="0.25">
      <c r="I37">
        <v>17</v>
      </c>
    </row>
    <row r="38" spans="9:9" x14ac:dyDescent="0.25">
      <c r="I38">
        <v>14</v>
      </c>
    </row>
    <row r="39" spans="9:9" x14ac:dyDescent="0.25">
      <c r="I39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BBFC-1A34-41AF-8E16-EDB60E138696}">
  <dimension ref="A2:G26"/>
  <sheetViews>
    <sheetView topLeftCell="A9" zoomScale="115" zoomScaleNormal="115" workbookViewId="0">
      <selection activeCell="D30" sqref="D30"/>
    </sheetView>
  </sheetViews>
  <sheetFormatPr defaultRowHeight="15" x14ac:dyDescent="0.25"/>
  <cols>
    <col min="1" max="1" width="12.85546875" customWidth="1"/>
    <col min="2" max="2" width="15.7109375" customWidth="1"/>
    <col min="3" max="6" width="20.28515625" style="1" customWidth="1"/>
    <col min="7" max="7" width="22.42578125" style="1" bestFit="1" customWidth="1"/>
    <col min="8" max="8" width="20.28515625" customWidth="1"/>
  </cols>
  <sheetData>
    <row r="2" spans="1:7" s="28" customFormat="1" ht="12.75" x14ac:dyDescent="0.2"/>
    <row r="3" spans="1:7" x14ac:dyDescent="0.25">
      <c r="C3"/>
      <c r="D3"/>
      <c r="E3"/>
      <c r="F3"/>
      <c r="G3"/>
    </row>
    <row r="4" spans="1:7" x14ac:dyDescent="0.25">
      <c r="C4"/>
      <c r="D4"/>
      <c r="E4"/>
      <c r="F4"/>
      <c r="G4"/>
    </row>
    <row r="5" spans="1:7" x14ac:dyDescent="0.25">
      <c r="C5"/>
      <c r="D5"/>
      <c r="E5"/>
      <c r="F5"/>
      <c r="G5"/>
    </row>
    <row r="6" spans="1:7" x14ac:dyDescent="0.25">
      <c r="C6"/>
      <c r="D6"/>
      <c r="E6"/>
      <c r="F6"/>
      <c r="G6"/>
    </row>
    <row r="7" spans="1:7" x14ac:dyDescent="0.25">
      <c r="C7"/>
      <c r="D7"/>
      <c r="E7"/>
      <c r="F7"/>
      <c r="G7"/>
    </row>
    <row r="8" spans="1:7" x14ac:dyDescent="0.25">
      <c r="C8"/>
      <c r="D8"/>
      <c r="E8"/>
      <c r="F8"/>
      <c r="G8"/>
    </row>
    <row r="9" spans="1:7" x14ac:dyDescent="0.25">
      <c r="C9"/>
      <c r="D9"/>
      <c r="E9"/>
      <c r="F9"/>
      <c r="G9"/>
    </row>
    <row r="10" spans="1:7" x14ac:dyDescent="0.25">
      <c r="C10"/>
      <c r="D10"/>
      <c r="E10"/>
      <c r="F10"/>
      <c r="G10"/>
    </row>
    <row r="11" spans="1:7" x14ac:dyDescent="0.25">
      <c r="C11"/>
      <c r="D11"/>
      <c r="E11"/>
      <c r="F11"/>
      <c r="G11"/>
    </row>
    <row r="12" spans="1:7" x14ac:dyDescent="0.25">
      <c r="A12" s="1"/>
      <c r="C12"/>
      <c r="D12"/>
      <c r="E12"/>
      <c r="F12"/>
      <c r="G12"/>
    </row>
    <row r="13" spans="1:7" x14ac:dyDescent="0.25">
      <c r="C13"/>
      <c r="D13"/>
      <c r="E13"/>
      <c r="F13"/>
      <c r="G13"/>
    </row>
    <row r="14" spans="1:7" x14ac:dyDescent="0.25">
      <c r="C14"/>
      <c r="D14"/>
      <c r="E14"/>
      <c r="F14"/>
      <c r="G14"/>
    </row>
    <row r="19" spans="2:7" x14ac:dyDescent="0.25">
      <c r="B19" s="53" t="s">
        <v>32</v>
      </c>
      <c r="C19" s="53" t="s">
        <v>34</v>
      </c>
      <c r="D19" s="54" t="s">
        <v>41</v>
      </c>
      <c r="E19" s="54" t="s">
        <v>44</v>
      </c>
      <c r="F19" s="54" t="s">
        <v>46</v>
      </c>
      <c r="G19" s="54" t="s">
        <v>47</v>
      </c>
    </row>
    <row r="20" spans="2:7" ht="18" x14ac:dyDescent="0.35">
      <c r="B20" s="67" t="s">
        <v>33</v>
      </c>
      <c r="C20" s="67" t="s">
        <v>42</v>
      </c>
      <c r="D20" s="68" t="s">
        <v>40</v>
      </c>
      <c r="E20" s="68" t="s">
        <v>48</v>
      </c>
      <c r="F20" s="68" t="s">
        <v>40</v>
      </c>
      <c r="G20" s="68" t="s">
        <v>45</v>
      </c>
    </row>
    <row r="21" spans="2:7" x14ac:dyDescent="0.25">
      <c r="B21" s="55">
        <v>1</v>
      </c>
      <c r="C21" s="55" t="s">
        <v>35</v>
      </c>
      <c r="D21" s="56">
        <v>4</v>
      </c>
      <c r="E21" s="60">
        <f>D21/$D$26</f>
        <v>0.1</v>
      </c>
      <c r="F21" s="56">
        <f>D21</f>
        <v>4</v>
      </c>
      <c r="G21" s="62">
        <f>E21</f>
        <v>0.1</v>
      </c>
    </row>
    <row r="22" spans="2:7" x14ac:dyDescent="0.25">
      <c r="B22" s="63">
        <v>2</v>
      </c>
      <c r="C22" s="63" t="s">
        <v>39</v>
      </c>
      <c r="D22" s="64">
        <v>10</v>
      </c>
      <c r="E22" s="65">
        <f>D22/$D$26</f>
        <v>0.25</v>
      </c>
      <c r="F22" s="64">
        <f>F21+D22</f>
        <v>14</v>
      </c>
      <c r="G22" s="66">
        <f>G21+E22</f>
        <v>0.35</v>
      </c>
    </row>
    <row r="23" spans="2:7" x14ac:dyDescent="0.25">
      <c r="B23" s="55">
        <v>3</v>
      </c>
      <c r="C23" s="55" t="s">
        <v>36</v>
      </c>
      <c r="D23" s="56">
        <v>14</v>
      </c>
      <c r="E23" s="60">
        <f>D23/$D$26</f>
        <v>0.35</v>
      </c>
      <c r="F23" s="56">
        <f t="shared" ref="F23:F25" si="0">F22+D23</f>
        <v>28</v>
      </c>
      <c r="G23" s="62">
        <f t="shared" ref="G23:G25" si="1">G22+E23</f>
        <v>0.7</v>
      </c>
    </row>
    <row r="24" spans="2:7" x14ac:dyDescent="0.25">
      <c r="B24" s="63">
        <v>4</v>
      </c>
      <c r="C24" s="63" t="s">
        <v>37</v>
      </c>
      <c r="D24" s="64">
        <v>9</v>
      </c>
      <c r="E24" s="65">
        <f>D24/$D$26</f>
        <v>0.22500000000000001</v>
      </c>
      <c r="F24" s="64">
        <f t="shared" si="0"/>
        <v>37</v>
      </c>
      <c r="G24" s="66">
        <f t="shared" si="1"/>
        <v>0.92499999999999993</v>
      </c>
    </row>
    <row r="25" spans="2:7" x14ac:dyDescent="0.25">
      <c r="B25" s="55">
        <v>5</v>
      </c>
      <c r="C25" s="55" t="s">
        <v>38</v>
      </c>
      <c r="D25" s="56">
        <v>3</v>
      </c>
      <c r="E25" s="60">
        <f>D25/$D$26</f>
        <v>7.4999999999999997E-2</v>
      </c>
      <c r="F25" s="56">
        <f t="shared" si="0"/>
        <v>40</v>
      </c>
      <c r="G25" s="62">
        <f t="shared" si="1"/>
        <v>0.99999999999999989</v>
      </c>
    </row>
    <row r="26" spans="2:7" x14ac:dyDescent="0.25">
      <c r="B26" s="57" t="s">
        <v>43</v>
      </c>
      <c r="C26" s="58" t="s">
        <v>2</v>
      </c>
      <c r="D26" s="58">
        <f>SUM(D21:D25)</f>
        <v>40</v>
      </c>
      <c r="E26" s="61">
        <f>SUM(E21:E25)</f>
        <v>0.99999999999999989</v>
      </c>
      <c r="F26" s="58" t="s">
        <v>2</v>
      </c>
      <c r="G26" s="58" t="s">
        <v>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EE75-DE65-44ED-A144-DCD597E4CE11}">
  <dimension ref="B2:C14"/>
  <sheetViews>
    <sheetView workbookViewId="0">
      <selection activeCell="F3" sqref="F3"/>
    </sheetView>
  </sheetViews>
  <sheetFormatPr defaultRowHeight="21" x14ac:dyDescent="0.35"/>
  <cols>
    <col min="2" max="2" width="22.28515625" style="27" bestFit="1" customWidth="1"/>
    <col min="3" max="3" width="20.7109375" style="27" customWidth="1"/>
    <col min="4" max="4" width="24.85546875" customWidth="1"/>
    <col min="5" max="5" width="18.5703125" customWidth="1"/>
    <col min="6" max="6" width="23.85546875" customWidth="1"/>
  </cols>
  <sheetData>
    <row r="2" spans="2:3" ht="15" x14ac:dyDescent="0.25">
      <c r="B2"/>
      <c r="C2"/>
    </row>
    <row r="3" spans="2:3" ht="15" x14ac:dyDescent="0.25">
      <c r="B3"/>
      <c r="C3"/>
    </row>
    <row r="4" spans="2:3" ht="15" x14ac:dyDescent="0.25">
      <c r="B4"/>
      <c r="C4"/>
    </row>
    <row r="5" spans="2:3" ht="15" x14ac:dyDescent="0.25">
      <c r="B5"/>
      <c r="C5"/>
    </row>
    <row r="6" spans="2:3" ht="15" x14ac:dyDescent="0.25">
      <c r="B6"/>
      <c r="C6"/>
    </row>
    <row r="7" spans="2:3" ht="15" x14ac:dyDescent="0.25">
      <c r="B7"/>
      <c r="C7"/>
    </row>
    <row r="8" spans="2:3" ht="15" x14ac:dyDescent="0.25">
      <c r="B8"/>
      <c r="C8"/>
    </row>
    <row r="9" spans="2:3" ht="15" x14ac:dyDescent="0.25">
      <c r="B9"/>
      <c r="C9"/>
    </row>
    <row r="10" spans="2:3" ht="15" x14ac:dyDescent="0.25">
      <c r="B10"/>
      <c r="C10"/>
    </row>
    <row r="11" spans="2:3" ht="15" x14ac:dyDescent="0.25">
      <c r="B11"/>
      <c r="C11"/>
    </row>
    <row r="12" spans="2:3" ht="24" x14ac:dyDescent="0.45">
      <c r="B12" s="27" t="s">
        <v>19</v>
      </c>
      <c r="C12"/>
    </row>
    <row r="13" spans="2:3" ht="15" x14ac:dyDescent="0.25">
      <c r="B13"/>
      <c r="C13"/>
    </row>
    <row r="14" spans="2:3" ht="15" x14ac:dyDescent="0.25">
      <c r="B14"/>
      <c r="C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8396-4C8F-4113-91CB-2205376073DB}">
  <dimension ref="C5:H15"/>
  <sheetViews>
    <sheetView workbookViewId="0">
      <selection activeCell="E8" sqref="E8"/>
    </sheetView>
  </sheetViews>
  <sheetFormatPr defaultRowHeight="15" x14ac:dyDescent="0.25"/>
  <cols>
    <col min="3" max="3" width="15.7109375" customWidth="1"/>
    <col min="4" max="4" width="19.5703125" bestFit="1" customWidth="1"/>
    <col min="5" max="5" width="20.5703125" customWidth="1"/>
    <col min="6" max="6" width="19.42578125" customWidth="1"/>
    <col min="7" max="7" width="19" customWidth="1"/>
    <col min="8" max="8" width="19.42578125" bestFit="1" customWidth="1"/>
  </cols>
  <sheetData>
    <row r="5" spans="3:8" x14ac:dyDescent="0.25">
      <c r="C5" s="68" t="s">
        <v>32</v>
      </c>
      <c r="D5" s="68" t="s">
        <v>61</v>
      </c>
      <c r="E5" s="68" t="s">
        <v>62</v>
      </c>
      <c r="F5" s="68" t="s">
        <v>44</v>
      </c>
      <c r="G5" s="68" t="s">
        <v>46</v>
      </c>
      <c r="H5" s="68" t="s">
        <v>63</v>
      </c>
    </row>
    <row r="6" spans="3:8" ht="18" x14ac:dyDescent="0.35">
      <c r="C6" s="59" t="s">
        <v>60</v>
      </c>
      <c r="D6" s="59" t="s">
        <v>64</v>
      </c>
      <c r="E6" s="59" t="s">
        <v>65</v>
      </c>
      <c r="F6" s="59" t="s">
        <v>48</v>
      </c>
      <c r="G6" s="59" t="s">
        <v>40</v>
      </c>
      <c r="H6" s="59" t="s">
        <v>45</v>
      </c>
    </row>
    <row r="7" spans="3:8" x14ac:dyDescent="0.25">
      <c r="C7" s="77">
        <v>1</v>
      </c>
      <c r="D7" s="77">
        <v>0</v>
      </c>
      <c r="E7" s="77">
        <v>1</v>
      </c>
      <c r="F7" s="79">
        <f>E7/$E$15</f>
        <v>0.05</v>
      </c>
      <c r="G7" s="78">
        <f>E7</f>
        <v>1</v>
      </c>
      <c r="H7" s="82">
        <f>F7</f>
        <v>0.05</v>
      </c>
    </row>
    <row r="8" spans="3:8" x14ac:dyDescent="0.25">
      <c r="C8" s="77">
        <v>2</v>
      </c>
      <c r="D8" s="77">
        <v>1</v>
      </c>
      <c r="E8" s="78">
        <f>F8*E15</f>
        <v>3</v>
      </c>
      <c r="F8" s="79">
        <v>0.15</v>
      </c>
      <c r="G8" s="77">
        <f>G7+E8</f>
        <v>4</v>
      </c>
      <c r="H8" s="82">
        <f>H7+F8</f>
        <v>0.2</v>
      </c>
    </row>
    <row r="9" spans="3:8" x14ac:dyDescent="0.25">
      <c r="C9" s="77">
        <v>3</v>
      </c>
      <c r="D9" s="77">
        <v>2</v>
      </c>
      <c r="E9" s="77">
        <v>4</v>
      </c>
      <c r="F9" s="80">
        <f>E9/$E$15</f>
        <v>0.2</v>
      </c>
      <c r="G9" s="78">
        <f>G8+E9</f>
        <v>8</v>
      </c>
      <c r="H9" s="82">
        <f t="shared" ref="H9:H14" si="0">H8+F9</f>
        <v>0.4</v>
      </c>
    </row>
    <row r="10" spans="3:8" x14ac:dyDescent="0.25">
      <c r="C10" s="77">
        <v>4</v>
      </c>
      <c r="D10" s="77">
        <v>3</v>
      </c>
      <c r="E10" s="78">
        <f>F10*E15</f>
        <v>5</v>
      </c>
      <c r="F10" s="79">
        <v>0.25</v>
      </c>
      <c r="G10" s="77">
        <f>G9+E10</f>
        <v>13</v>
      </c>
      <c r="H10" s="82">
        <f t="shared" si="0"/>
        <v>0.65</v>
      </c>
    </row>
    <row r="11" spans="3:8" x14ac:dyDescent="0.25">
      <c r="C11" s="77">
        <v>5</v>
      </c>
      <c r="D11" s="77">
        <v>4</v>
      </c>
      <c r="E11" s="77">
        <v>3</v>
      </c>
      <c r="F11" s="79">
        <f t="shared" ref="F9:F14" si="1">E11/$E$15</f>
        <v>0.15</v>
      </c>
      <c r="G11" s="78">
        <f>G10+E11</f>
        <v>16</v>
      </c>
      <c r="H11" s="82">
        <f t="shared" si="0"/>
        <v>0.8</v>
      </c>
    </row>
    <row r="12" spans="3:8" x14ac:dyDescent="0.25">
      <c r="C12" s="77">
        <v>6</v>
      </c>
      <c r="D12" s="77">
        <v>5</v>
      </c>
      <c r="E12" s="77">
        <v>2</v>
      </c>
      <c r="F12" s="80">
        <f t="shared" si="1"/>
        <v>0.1</v>
      </c>
      <c r="G12" s="77">
        <f>G11+E12</f>
        <v>18</v>
      </c>
      <c r="H12" s="82">
        <f t="shared" si="0"/>
        <v>0.9</v>
      </c>
    </row>
    <row r="13" spans="3:8" x14ac:dyDescent="0.25">
      <c r="C13" s="77">
        <v>7</v>
      </c>
      <c r="D13" s="77">
        <v>6</v>
      </c>
      <c r="E13" s="78">
        <v>1</v>
      </c>
      <c r="F13" s="80">
        <f t="shared" si="1"/>
        <v>0.05</v>
      </c>
      <c r="G13" s="77">
        <v>19</v>
      </c>
      <c r="H13" s="82">
        <f t="shared" si="0"/>
        <v>0.95000000000000007</v>
      </c>
    </row>
    <row r="14" spans="3:8" x14ac:dyDescent="0.25">
      <c r="C14" s="77">
        <v>8</v>
      </c>
      <c r="D14" s="77">
        <v>7</v>
      </c>
      <c r="E14" s="78">
        <v>1</v>
      </c>
      <c r="F14" s="80">
        <f t="shared" si="1"/>
        <v>0.05</v>
      </c>
      <c r="G14" s="78">
        <f>G13+E14</f>
        <v>20</v>
      </c>
      <c r="H14" s="82">
        <f t="shared" si="0"/>
        <v>1</v>
      </c>
    </row>
    <row r="15" spans="3:8" x14ac:dyDescent="0.25">
      <c r="C15" s="76" t="s">
        <v>43</v>
      </c>
      <c r="D15" s="76" t="s">
        <v>2</v>
      </c>
      <c r="E15" s="76">
        <v>20</v>
      </c>
      <c r="F15" s="81">
        <f>SUM(F7:F14)</f>
        <v>1</v>
      </c>
      <c r="G15" s="76" t="s">
        <v>2</v>
      </c>
      <c r="H15" s="76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B3F9-773A-4E80-B8D4-E8545F4943A5}">
  <dimension ref="B7:G17"/>
  <sheetViews>
    <sheetView workbookViewId="0">
      <selection activeCell="D23" sqref="D23"/>
    </sheetView>
  </sheetViews>
  <sheetFormatPr defaultRowHeight="15" x14ac:dyDescent="0.25"/>
  <cols>
    <col min="3" max="3" width="19.5703125" bestFit="1" customWidth="1"/>
    <col min="4" max="4" width="14.85546875" bestFit="1" customWidth="1"/>
    <col min="5" max="5" width="13.28515625" bestFit="1" customWidth="1"/>
    <col min="6" max="6" width="16.85546875" bestFit="1" customWidth="1"/>
    <col min="7" max="7" width="19.42578125" bestFit="1" customWidth="1"/>
  </cols>
  <sheetData>
    <row r="7" spans="2:7" x14ac:dyDescent="0.25">
      <c r="B7" s="68" t="s">
        <v>32</v>
      </c>
      <c r="C7" s="68" t="s">
        <v>61</v>
      </c>
      <c r="D7" s="68" t="s">
        <v>62</v>
      </c>
      <c r="E7" s="68" t="s">
        <v>44</v>
      </c>
      <c r="F7" s="68" t="s">
        <v>46</v>
      </c>
      <c r="G7" s="68" t="s">
        <v>63</v>
      </c>
    </row>
    <row r="8" spans="2:7" ht="18" x14ac:dyDescent="0.35">
      <c r="B8" s="59" t="s">
        <v>60</v>
      </c>
      <c r="C8" s="59" t="s">
        <v>64</v>
      </c>
      <c r="D8" s="59" t="s">
        <v>65</v>
      </c>
      <c r="E8" s="59" t="s">
        <v>48</v>
      </c>
      <c r="F8" s="59" t="s">
        <v>40</v>
      </c>
      <c r="G8" s="59" t="s">
        <v>45</v>
      </c>
    </row>
    <row r="9" spans="2:7" x14ac:dyDescent="0.25">
      <c r="B9" s="77"/>
      <c r="C9" s="77"/>
      <c r="D9" s="77"/>
      <c r="E9" s="79"/>
      <c r="F9" s="78"/>
      <c r="G9" s="82"/>
    </row>
    <row r="10" spans="2:7" x14ac:dyDescent="0.25">
      <c r="B10" s="77"/>
      <c r="C10" s="77"/>
      <c r="D10" s="78"/>
      <c r="E10" s="79"/>
      <c r="F10" s="77"/>
      <c r="G10" s="82"/>
    </row>
    <row r="11" spans="2:7" x14ac:dyDescent="0.25">
      <c r="B11" s="77"/>
      <c r="C11" s="77"/>
      <c r="D11" s="77"/>
      <c r="E11" s="80"/>
      <c r="F11" s="78"/>
      <c r="G11" s="82"/>
    </row>
    <row r="12" spans="2:7" x14ac:dyDescent="0.25">
      <c r="B12" s="77"/>
      <c r="C12" s="77"/>
      <c r="D12" s="78"/>
      <c r="E12" s="79"/>
      <c r="F12" s="77"/>
      <c r="G12" s="82"/>
    </row>
    <row r="13" spans="2:7" x14ac:dyDescent="0.25">
      <c r="B13" s="77"/>
      <c r="C13" s="77"/>
      <c r="D13" s="77"/>
      <c r="E13" s="79"/>
      <c r="F13" s="78"/>
      <c r="G13" s="82"/>
    </row>
    <row r="14" spans="2:7" x14ac:dyDescent="0.25">
      <c r="B14" s="77"/>
      <c r="C14" s="77"/>
      <c r="D14" s="77"/>
      <c r="E14" s="80"/>
      <c r="F14" s="77"/>
      <c r="G14" s="82"/>
    </row>
    <row r="15" spans="2:7" x14ac:dyDescent="0.25">
      <c r="B15" s="77"/>
      <c r="C15" s="77"/>
      <c r="D15" s="78"/>
      <c r="E15" s="80"/>
      <c r="F15" s="77"/>
      <c r="G15" s="82"/>
    </row>
    <row r="16" spans="2:7" x14ac:dyDescent="0.25">
      <c r="B16" s="77"/>
      <c r="C16" s="77"/>
      <c r="D16" s="78"/>
      <c r="E16" s="80"/>
      <c r="F16" s="78"/>
      <c r="G16" s="82"/>
    </row>
    <row r="17" spans="2:7" x14ac:dyDescent="0.25">
      <c r="B17" s="76" t="s">
        <v>43</v>
      </c>
      <c r="C17" s="76" t="s">
        <v>2</v>
      </c>
      <c r="D17" s="76"/>
      <c r="E17" s="81">
        <f>SUM(E9:E16)</f>
        <v>0</v>
      </c>
      <c r="F17" s="76" t="s">
        <v>2</v>
      </c>
      <c r="G17" s="76" t="s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9165-A841-434D-A466-A212FC43C10F}">
  <dimension ref="B6:N20"/>
  <sheetViews>
    <sheetView tabSelected="1" zoomScale="89" zoomScaleNormal="89" workbookViewId="0">
      <selection activeCell="D18" sqref="D18"/>
    </sheetView>
  </sheetViews>
  <sheetFormatPr defaultRowHeight="19.5" x14ac:dyDescent="0.35"/>
  <cols>
    <col min="2" max="2" width="27.5703125" customWidth="1"/>
    <col min="3" max="4" width="25.85546875" customWidth="1"/>
    <col min="5" max="5" width="24.5703125" customWidth="1"/>
    <col min="6" max="6" width="23.7109375" customWidth="1"/>
    <col min="7" max="7" width="26.85546875" customWidth="1"/>
    <col min="8" max="8" width="25.28515625" customWidth="1"/>
    <col min="10" max="11" width="8.85546875" style="30"/>
    <col min="12" max="12" width="8.85546875" style="32"/>
    <col min="13" max="14" width="8.85546875" style="31"/>
  </cols>
  <sheetData>
    <row r="6" spans="2:6" ht="20.25" thickBot="1" x14ac:dyDescent="0.4"/>
    <row r="7" spans="2:6" ht="37.5" x14ac:dyDescent="0.35">
      <c r="B7" s="83" t="s">
        <v>66</v>
      </c>
      <c r="C7" s="94" t="s">
        <v>70</v>
      </c>
      <c r="D7" s="95" t="s">
        <v>68</v>
      </c>
      <c r="E7" s="96" t="s">
        <v>69</v>
      </c>
      <c r="F7" s="95" t="s">
        <v>67</v>
      </c>
    </row>
    <row r="8" spans="2:6" ht="21" thickBot="1" x14ac:dyDescent="0.4">
      <c r="B8" s="84" t="s">
        <v>75</v>
      </c>
      <c r="C8" s="85" t="s">
        <v>71</v>
      </c>
      <c r="D8" s="85" t="s">
        <v>72</v>
      </c>
      <c r="E8" s="85" t="s">
        <v>73</v>
      </c>
      <c r="F8" s="85" t="s">
        <v>74</v>
      </c>
    </row>
    <row r="9" spans="2:6" ht="20.25" thickBot="1" x14ac:dyDescent="0.4">
      <c r="B9" s="86">
        <v>20</v>
      </c>
      <c r="C9" s="87">
        <v>12</v>
      </c>
      <c r="D9" s="91">
        <f>C9/$C$17</f>
        <v>7.4999999999999997E-2</v>
      </c>
      <c r="E9" s="92">
        <v>12</v>
      </c>
      <c r="F9" s="91">
        <f>D9</f>
        <v>7.4999999999999997E-2</v>
      </c>
    </row>
    <row r="10" spans="2:6" ht="20.25" thickBot="1" x14ac:dyDescent="0.4">
      <c r="B10" s="86">
        <v>21</v>
      </c>
      <c r="C10" s="90">
        <f>D10*C17</f>
        <v>15.000000000000002</v>
      </c>
      <c r="D10" s="91">
        <f>F10-F9</f>
        <v>9.3750000000000014E-2</v>
      </c>
      <c r="E10" s="92">
        <f>E9+C10</f>
        <v>27</v>
      </c>
      <c r="F10" s="93">
        <v>0.16875000000000001</v>
      </c>
    </row>
    <row r="11" spans="2:6" ht="20.25" thickBot="1" x14ac:dyDescent="0.4">
      <c r="B11" s="86">
        <v>22</v>
      </c>
      <c r="C11" s="87">
        <v>19</v>
      </c>
      <c r="D11" s="91">
        <f t="shared" ref="D10:D15" si="0">C11/$C$17</f>
        <v>0.11874999999999999</v>
      </c>
      <c r="E11" s="92">
        <f>E10+C11</f>
        <v>46</v>
      </c>
      <c r="F11" s="91">
        <f>F10+D11</f>
        <v>0.28749999999999998</v>
      </c>
    </row>
    <row r="12" spans="2:6" ht="20.25" thickBot="1" x14ac:dyDescent="0.4">
      <c r="B12" s="86">
        <v>23</v>
      </c>
      <c r="C12" s="90">
        <f>D12*C17</f>
        <v>24.000000000000004</v>
      </c>
      <c r="D12" s="91">
        <f>F12-F11</f>
        <v>0.15000000000000002</v>
      </c>
      <c r="E12" s="92">
        <f>E11+C12</f>
        <v>70</v>
      </c>
      <c r="F12" s="93">
        <v>0.4375</v>
      </c>
    </row>
    <row r="13" spans="2:6" ht="20.25" thickBot="1" x14ac:dyDescent="0.4">
      <c r="B13" s="86">
        <v>24</v>
      </c>
      <c r="C13" s="87">
        <v>29</v>
      </c>
      <c r="D13" s="91">
        <f>C13/$C$17</f>
        <v>0.18124999999999999</v>
      </c>
      <c r="E13" s="92">
        <f>E12+C13</f>
        <v>99</v>
      </c>
      <c r="F13" s="91">
        <f>F12+D13</f>
        <v>0.61875000000000002</v>
      </c>
    </row>
    <row r="14" spans="2:6" ht="20.25" thickBot="1" x14ac:dyDescent="0.4">
      <c r="B14" s="86">
        <v>25</v>
      </c>
      <c r="C14" s="90">
        <f>D14*C17</f>
        <v>21.999999999999993</v>
      </c>
      <c r="D14" s="91">
        <f>F14-F13</f>
        <v>0.13749999999999996</v>
      </c>
      <c r="E14" s="92">
        <f>E13+C14</f>
        <v>121</v>
      </c>
      <c r="F14" s="93">
        <v>0.75624999999999998</v>
      </c>
    </row>
    <row r="15" spans="2:6" ht="20.25" thickBot="1" x14ac:dyDescent="0.4">
      <c r="B15" s="86">
        <v>26</v>
      </c>
      <c r="C15" s="87">
        <v>21</v>
      </c>
      <c r="D15" s="91">
        <f t="shared" si="0"/>
        <v>0.13125000000000001</v>
      </c>
      <c r="E15" s="92">
        <f>E14+C15</f>
        <v>142</v>
      </c>
      <c r="F15" s="91">
        <f>F14+D15</f>
        <v>0.88749999999999996</v>
      </c>
    </row>
    <row r="16" spans="2:6" ht="20.25" thickBot="1" x14ac:dyDescent="0.4">
      <c r="B16" s="86">
        <v>27</v>
      </c>
      <c r="C16" s="90">
        <f>D16*C17</f>
        <v>18.000000000000007</v>
      </c>
      <c r="D16" s="91">
        <f>F16-F15</f>
        <v>0.11250000000000004</v>
      </c>
      <c r="E16" s="92">
        <f>E15+C16</f>
        <v>160</v>
      </c>
      <c r="F16" s="91">
        <v>1</v>
      </c>
    </row>
    <row r="17" spans="2:6" ht="20.25" thickBot="1" x14ac:dyDescent="0.4">
      <c r="B17" s="88" t="s">
        <v>1</v>
      </c>
      <c r="C17" s="89">
        <v>160</v>
      </c>
      <c r="D17" s="99">
        <v>1</v>
      </c>
      <c r="E17" s="98" t="s">
        <v>2</v>
      </c>
      <c r="F17" s="97" t="s">
        <v>2</v>
      </c>
    </row>
    <row r="20" spans="2:6" x14ac:dyDescent="0.35">
      <c r="C20">
        <f>SUM(C9:C15)</f>
        <v>142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38A-D866-4DCE-970A-79D17C2F37A4}">
  <dimension ref="H1:K1"/>
  <sheetViews>
    <sheetView zoomScale="70" zoomScaleNormal="70" workbookViewId="0">
      <selection activeCell="Q24" sqref="Q24"/>
    </sheetView>
  </sheetViews>
  <sheetFormatPr defaultRowHeight="18" x14ac:dyDescent="0.25"/>
  <cols>
    <col min="8" max="9" width="8.85546875" style="30"/>
    <col min="10" max="10" width="8.85546875" style="32"/>
    <col min="11" max="11" width="8.85546875" style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Tipos de Distribuições de Freq.</vt:lpstr>
      <vt:lpstr>Tipos de Frequências</vt:lpstr>
      <vt:lpstr>Exercício 1</vt:lpstr>
      <vt:lpstr>Exercício 2</vt:lpstr>
      <vt:lpstr>Exercício 3</vt:lpstr>
      <vt:lpstr>Exercício 4</vt:lpstr>
      <vt:lpstr>Exercício 5</vt:lpstr>
      <vt:lpstr>Exercício 6a</vt:lpstr>
      <vt:lpstr>Exercício 6b</vt:lpstr>
      <vt:lpstr>Exercício 7</vt:lpstr>
      <vt:lpstr>Exercício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de Araujo Silva</dc:creator>
  <cp:lastModifiedBy>Administrator</cp:lastModifiedBy>
  <dcterms:created xsi:type="dcterms:W3CDTF">2021-03-02T12:51:19Z</dcterms:created>
  <dcterms:modified xsi:type="dcterms:W3CDTF">2026-03-03T01:45:02Z</dcterms:modified>
</cp:coreProperties>
</file>